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das\Downloads\"/>
    </mc:Choice>
  </mc:AlternateContent>
  <xr:revisionPtr revIDLastSave="0" documentId="8_{E31EB7C7-BF20-4364-B877-98FCC79E5E56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NOV-25" sheetId="1" r:id="rId1"/>
  </sheets>
  <externalReferences>
    <externalReference r:id="rId2"/>
  </externalReferences>
  <definedNames>
    <definedName name="_xlnm._FilterDatabase" localSheetId="0" hidden="1">'NOV-25'!$A$10:$C$31</definedName>
    <definedName name="_xlnm.Print_Area" localSheetId="0">'NOV-25'!$A$1:$AL$200</definedName>
    <definedName name="_xlnm.Print_Titles" localSheetId="0">'NOV-25'!$1:$4</definedName>
  </definedNames>
  <calcPr calcId="191029"/>
</workbook>
</file>

<file path=xl/calcChain.xml><?xml version="1.0" encoding="utf-8"?>
<calcChain xmlns="http://schemas.openxmlformats.org/spreadsheetml/2006/main">
  <c r="C49" i="1" l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12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150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19" i="1"/>
  <c r="C118" i="1"/>
  <c r="C117" i="1"/>
  <c r="C116" i="1"/>
  <c r="C115" i="1"/>
  <c r="C114" i="1"/>
  <c r="C113" i="1"/>
  <c r="C112" i="1"/>
  <c r="C111" i="1"/>
  <c r="C110" i="1"/>
  <c r="C109" i="1"/>
  <c r="C94" i="1"/>
  <c r="C95" i="1"/>
  <c r="C96" i="1"/>
  <c r="C97" i="1"/>
  <c r="C98" i="1"/>
  <c r="C99" i="1"/>
  <c r="C100" i="1"/>
  <c r="C93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59" i="1"/>
  <c r="C46" i="1"/>
  <c r="C47" i="1"/>
  <c r="C48" i="1"/>
  <c r="C50" i="1"/>
  <c r="C51" i="1"/>
  <c r="C52" i="1"/>
  <c r="C45" i="1"/>
  <c r="C38" i="1"/>
  <c r="C39" i="1"/>
  <c r="C40" i="1"/>
  <c r="C37" i="1"/>
  <c r="AI199" i="1"/>
  <c r="AI198" i="1"/>
  <c r="AI197" i="1"/>
  <c r="AI196" i="1"/>
  <c r="AI195" i="1"/>
  <c r="AI194" i="1"/>
  <c r="AI193" i="1"/>
  <c r="AI192" i="1"/>
  <c r="AI191" i="1"/>
  <c r="AI190" i="1"/>
  <c r="AI189" i="1"/>
  <c r="AI188" i="1"/>
  <c r="AI187" i="1"/>
  <c r="AI186" i="1"/>
  <c r="AI185" i="1"/>
  <c r="AI184" i="1"/>
  <c r="AI183" i="1"/>
  <c r="AI182" i="1"/>
  <c r="AI181" i="1"/>
  <c r="AI180" i="1"/>
  <c r="AI179" i="1"/>
  <c r="AI178" i="1"/>
  <c r="AI177" i="1"/>
  <c r="AI176" i="1"/>
  <c r="AI175" i="1"/>
  <c r="AI174" i="1"/>
  <c r="AI173" i="1"/>
  <c r="AI172" i="1"/>
  <c r="AI171" i="1"/>
  <c r="AI170" i="1"/>
  <c r="AI169" i="1"/>
  <c r="AI168" i="1"/>
  <c r="AI167" i="1"/>
  <c r="AI166" i="1"/>
  <c r="AI165" i="1"/>
  <c r="AI164" i="1"/>
  <c r="AI163" i="1"/>
  <c r="AI162" i="1"/>
  <c r="AI161" i="1"/>
  <c r="AI160" i="1"/>
  <c r="AI159" i="1"/>
  <c r="AI158" i="1"/>
  <c r="AI157" i="1"/>
  <c r="AI156" i="1"/>
  <c r="AI155" i="1"/>
  <c r="AI154" i="1"/>
  <c r="AI153" i="1"/>
  <c r="AI152" i="1"/>
  <c r="AI151" i="1"/>
  <c r="AI150" i="1"/>
  <c r="AI144" i="1"/>
  <c r="AI143" i="1"/>
  <c r="AI142" i="1"/>
  <c r="AI141" i="1"/>
  <c r="AI140" i="1"/>
  <c r="AI139" i="1"/>
  <c r="AI138" i="1"/>
  <c r="AI137" i="1"/>
  <c r="AI136" i="1"/>
  <c r="AI135" i="1"/>
  <c r="AI134" i="1"/>
  <c r="AI133" i="1"/>
  <c r="AI132" i="1"/>
  <c r="AI131" i="1"/>
  <c r="AV130" i="1"/>
  <c r="AV133" i="1" s="1"/>
  <c r="AI130" i="1"/>
  <c r="AI129" i="1"/>
  <c r="AI128" i="1"/>
  <c r="AI127" i="1"/>
  <c r="AI126" i="1"/>
  <c r="AI125" i="1"/>
  <c r="AI124" i="1"/>
  <c r="AT120" i="1"/>
  <c r="AT122" i="1" s="1"/>
  <c r="AI119" i="1"/>
  <c r="AI118" i="1"/>
  <c r="AI117" i="1"/>
  <c r="AI116" i="1"/>
  <c r="AI115" i="1"/>
  <c r="AI114" i="1"/>
  <c r="AI113" i="1"/>
  <c r="AI112" i="1"/>
  <c r="AI111" i="1"/>
  <c r="AI110" i="1"/>
  <c r="AI109" i="1"/>
  <c r="AI100" i="1"/>
  <c r="AI99" i="1"/>
  <c r="AI98" i="1"/>
  <c r="AI97" i="1"/>
  <c r="AI96" i="1"/>
  <c r="AI95" i="1"/>
  <c r="AI94" i="1"/>
  <c r="AI93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2" i="1"/>
  <c r="AI51" i="1"/>
  <c r="AI50" i="1"/>
  <c r="AI49" i="1"/>
  <c r="AI48" i="1"/>
  <c r="AI47" i="1"/>
  <c r="AI46" i="1"/>
  <c r="AI45" i="1"/>
  <c r="AI40" i="1"/>
  <c r="AI39" i="1"/>
  <c r="AI38" i="1"/>
  <c r="AI37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32" i="1" l="1"/>
  <c r="AI53" i="1"/>
  <c r="AI88" i="1"/>
  <c r="AI102" i="1"/>
  <c r="AI120" i="1"/>
  <c r="AI200" i="1"/>
</calcChain>
</file>

<file path=xl/sharedStrings.xml><?xml version="1.0" encoding="utf-8"?>
<sst xmlns="http://schemas.openxmlformats.org/spreadsheetml/2006/main" count="648" uniqueCount="223">
  <si>
    <t>SHREE SITA ISPAT AND POWER PVT. LTD.</t>
  </si>
  <si>
    <t>Village : Borjhara, Guma-Urla Road,</t>
  </si>
  <si>
    <t>Raipur, C.G.</t>
  </si>
  <si>
    <t>Attendance Sheet, : Month : OCT-2025</t>
  </si>
  <si>
    <t xml:space="preserve"> </t>
  </si>
  <si>
    <t>Attendance Sheet, : Month : Nov-2025</t>
  </si>
  <si>
    <t>Sl.No.</t>
  </si>
  <si>
    <t>Employee Name</t>
  </si>
  <si>
    <t>SAT</t>
  </si>
  <si>
    <t>SUN</t>
  </si>
  <si>
    <t>MON</t>
  </si>
  <si>
    <t>TUE</t>
  </si>
  <si>
    <t>WED</t>
  </si>
  <si>
    <t>THU</t>
  </si>
  <si>
    <t>FRI</t>
  </si>
  <si>
    <t>TOTAL DAYS</t>
  </si>
  <si>
    <t>OFFICE STAFF</t>
  </si>
  <si>
    <t xml:space="preserve">15 AUG KA DOUBEL NAHI MILA THA </t>
  </si>
  <si>
    <t>STORE KEEPER</t>
  </si>
  <si>
    <t>Driver</t>
  </si>
  <si>
    <t xml:space="preserve"> HOALD SALARY</t>
  </si>
  <si>
    <t>REST DAY JAN-DEC-22</t>
  </si>
  <si>
    <t>MACHANICAL DEPT.</t>
  </si>
  <si>
    <t>WEDNESDAY</t>
  </si>
  <si>
    <t>8 se 11 shyam</t>
  </si>
  <si>
    <t>Wednesday</t>
  </si>
  <si>
    <t>Sunday</t>
  </si>
  <si>
    <t>Friday</t>
  </si>
  <si>
    <t>Tuesday</t>
  </si>
  <si>
    <t>Monday/</t>
  </si>
  <si>
    <t>Thusday</t>
  </si>
  <si>
    <t>13,14,15 accident</t>
  </si>
  <si>
    <t>14 ko kata hua hai</t>
  </si>
  <si>
    <t>Saturday</t>
  </si>
  <si>
    <t>/FRIDAY</t>
  </si>
  <si>
    <t>Monday</t>
  </si>
  <si>
    <t>MONDAY</t>
  </si>
  <si>
    <t xml:space="preserve">  </t>
  </si>
  <si>
    <t>REST DAY JAN-22</t>
  </si>
  <si>
    <t>ELECTRICAL DEPT.</t>
  </si>
  <si>
    <t xml:space="preserve">Sunday </t>
  </si>
  <si>
    <t>.</t>
  </si>
  <si>
    <t>LABORATORY DEPT.</t>
  </si>
  <si>
    <t>18 KO COMPLAIN ISWAR ISPAT, 24,25,26 -WARDH</t>
  </si>
  <si>
    <t>FURNACE DEPT.</t>
  </si>
  <si>
    <t>Depar.</t>
  </si>
  <si>
    <t>HOD/Sunday</t>
  </si>
  <si>
    <t>Fur</t>
  </si>
  <si>
    <t>LAB/ Sunday</t>
  </si>
  <si>
    <t>Lab</t>
  </si>
  <si>
    <t>LAB/ Saturday</t>
  </si>
  <si>
    <t>COMPLAIN DATE- 1.2.3,</t>
  </si>
  <si>
    <t>LAB/Monday</t>
  </si>
  <si>
    <t>LAB/Tuesday</t>
  </si>
  <si>
    <t>LAB/Saturday</t>
  </si>
  <si>
    <t>LAB Wednesday/ THURS</t>
  </si>
  <si>
    <t xml:space="preserve">   </t>
  </si>
  <si>
    <t>DAY</t>
  </si>
  <si>
    <t>DEPARTME</t>
  </si>
  <si>
    <t>POWER PLANT</t>
  </si>
  <si>
    <t>SUNDAY</t>
  </si>
  <si>
    <t>OPERATION</t>
  </si>
  <si>
    <t xml:space="preserve">TUESDAY </t>
  </si>
  <si>
    <t>ELECTRICAL</t>
  </si>
  <si>
    <t>THURSDAY</t>
  </si>
  <si>
    <t>MACHANICAL</t>
  </si>
  <si>
    <t xml:space="preserve">MONDAY </t>
  </si>
  <si>
    <t>FRIDAY</t>
  </si>
  <si>
    <t>ot slip me 2 hai 31 ko</t>
  </si>
  <si>
    <t>Mon</t>
  </si>
  <si>
    <t>SATURDAY</t>
  </si>
  <si>
    <t>DM PLANT</t>
  </si>
  <si>
    <t xml:space="preserve">WED </t>
  </si>
  <si>
    <t>TUSDAY</t>
  </si>
  <si>
    <t xml:space="preserve">benu 26 me 1.5 liya hai ot slip me </t>
  </si>
  <si>
    <t>c+  a/2 hai 31 ko ot slip me</t>
  </si>
  <si>
    <t>Awadh Ram Sahu</t>
  </si>
  <si>
    <t>Nagendra Tiwari</t>
  </si>
  <si>
    <t>Peela Ram</t>
  </si>
  <si>
    <t>Randhir Singh</t>
  </si>
  <si>
    <t>Naresh Singh</t>
  </si>
  <si>
    <t>Divesh Sinha</t>
  </si>
  <si>
    <t>Baldev Prasad</t>
  </si>
  <si>
    <t>Kalinga Kumar Seth</t>
  </si>
  <si>
    <t>Shubham Goshwami</t>
  </si>
  <si>
    <t>Ashok Sahu</t>
  </si>
  <si>
    <t>Kishor Nishad</t>
  </si>
  <si>
    <t>Johan Lal Nishad</t>
  </si>
  <si>
    <t>Tejnath Bharti</t>
  </si>
  <si>
    <t>Sonu Sahu</t>
  </si>
  <si>
    <t>Ashok</t>
  </si>
  <si>
    <t>Jitendra Kumar</t>
  </si>
  <si>
    <t>Arjun Yadav</t>
  </si>
  <si>
    <t>Deepak Nishad</t>
  </si>
  <si>
    <t>Motilal Jaiswal</t>
  </si>
  <si>
    <t>Basant Lal</t>
  </si>
  <si>
    <t>Suresh Rawat</t>
  </si>
  <si>
    <t>L.N. Verma</t>
  </si>
  <si>
    <t>Mantosh Yadav</t>
  </si>
  <si>
    <t>Nirbhay Pratap Singh</t>
  </si>
  <si>
    <t>Sumant Verma</t>
  </si>
  <si>
    <t>Santosh Kumar Tawde</t>
  </si>
  <si>
    <t>Roshan Nishad</t>
  </si>
  <si>
    <t>Chhatrapal Chandrakar</t>
  </si>
  <si>
    <t>Heera Lal Nishad</t>
  </si>
  <si>
    <t>Suresh Verma</t>
  </si>
  <si>
    <t>Umesh Yadav</t>
  </si>
  <si>
    <t>Mritunjay Singh</t>
  </si>
  <si>
    <t>Rajesh Sahu</t>
  </si>
  <si>
    <t>Devraj Singh Kashyap</t>
  </si>
  <si>
    <t>Virendra Dhruw</t>
  </si>
  <si>
    <t>Sushil Yadav</t>
  </si>
  <si>
    <t>Sanjiv Nishad</t>
  </si>
  <si>
    <t>Devendra verma</t>
  </si>
  <si>
    <t>Amrit Lal Markandey</t>
  </si>
  <si>
    <t>Rakesh Kumar Nishad</t>
  </si>
  <si>
    <t>Gajendra Verma</t>
  </si>
  <si>
    <t>Kumar Chand Nishad</t>
  </si>
  <si>
    <t>Jairam Sahu</t>
  </si>
  <si>
    <t>Pankaj Sahu</t>
  </si>
  <si>
    <t>kishan lal Nishad</t>
  </si>
  <si>
    <t>Sewaram Yadav</t>
  </si>
  <si>
    <t>Suresh Nishad</t>
  </si>
  <si>
    <t>Somnath Mahara</t>
  </si>
  <si>
    <t>Yaswant Sahu</t>
  </si>
  <si>
    <t>Take Ram Chekradhari</t>
  </si>
  <si>
    <t>Karishna Kuamar Bawane</t>
  </si>
  <si>
    <t>Dagendra Sahu</t>
  </si>
  <si>
    <t>Sanjay Singh</t>
  </si>
  <si>
    <t>Ashwani Sahu</t>
  </si>
  <si>
    <t>Tota Raj Patre</t>
  </si>
  <si>
    <t>Deepak Kumar Nishad</t>
  </si>
  <si>
    <t>Pradeep Kumar Yadav</t>
  </si>
  <si>
    <t>Dinesh Katre</t>
  </si>
  <si>
    <t>Niranjan Patle</t>
  </si>
  <si>
    <t>Sunil Kumar</t>
  </si>
  <si>
    <t>Brijesh kumar Singh</t>
  </si>
  <si>
    <t>Gend Ram Sahu</t>
  </si>
  <si>
    <t>Suraj Kumar Yadav</t>
  </si>
  <si>
    <t>Suraj verma</t>
  </si>
  <si>
    <t>Akhilesh Pandey</t>
  </si>
  <si>
    <t>Sandeep Kumar Nishad</t>
  </si>
  <si>
    <t>Birendra Kumar Lahari</t>
  </si>
  <si>
    <t>Devendra Kumar Joshi</t>
  </si>
  <si>
    <t>Hemant Kumar Gayakwad</t>
  </si>
  <si>
    <t>Tulsi Ram Verma</t>
  </si>
  <si>
    <t>Neeraj Kumar Marathe</t>
  </si>
  <si>
    <t>Navdeep Kurre</t>
  </si>
  <si>
    <t>Shankar Lal Verma</t>
  </si>
  <si>
    <t>Santosh Kumar Verma</t>
  </si>
  <si>
    <t>Anil Verma</t>
  </si>
  <si>
    <t>Hirendra Kumar Verma</t>
  </si>
  <si>
    <t>Purohit Nishad</t>
  </si>
  <si>
    <t>Bhagwat Nirmalkar</t>
  </si>
  <si>
    <t>Bharat lal Verma</t>
  </si>
  <si>
    <t>Sona Ram</t>
  </si>
  <si>
    <t>Pratap Joshi</t>
  </si>
  <si>
    <t>Narottam Dhruv</t>
  </si>
  <si>
    <t>Jayant Kumar Sahu</t>
  </si>
  <si>
    <t>Panchram Nishad</t>
  </si>
  <si>
    <t>Ganesh Kumar Dhidahi</t>
  </si>
  <si>
    <t>Nitin Sahu</t>
  </si>
  <si>
    <t>Swamy Rao</t>
  </si>
  <si>
    <t>Ajay Kumar</t>
  </si>
  <si>
    <t>Yogendra Sahu</t>
  </si>
  <si>
    <t>Bhupendra Nishad</t>
  </si>
  <si>
    <t>Kundan Jaiswal</t>
  </si>
  <si>
    <t>Nitesh Kumar</t>
  </si>
  <si>
    <t>Atul Mishra</t>
  </si>
  <si>
    <t>Rajesh Diwan</t>
  </si>
  <si>
    <t>Sundar Agrawal</t>
  </si>
  <si>
    <t>Amit Chauhan</t>
  </si>
  <si>
    <t>Krishna Nishad</t>
  </si>
  <si>
    <t>Deepak Verma</t>
  </si>
  <si>
    <t>Manish Kumar Baghel</t>
  </si>
  <si>
    <t>Amit Kumar Baghel</t>
  </si>
  <si>
    <t>Akashay Deshlahare</t>
  </si>
  <si>
    <t>Sudhansu Singh</t>
  </si>
  <si>
    <t>Devlal Patel</t>
  </si>
  <si>
    <t>Hiresh Nishad</t>
  </si>
  <si>
    <t>Pradeep Kumar</t>
  </si>
  <si>
    <t>Rakesh Kumar Mourya</t>
  </si>
  <si>
    <t>Moti Ram Tondon</t>
  </si>
  <si>
    <t>Ashok Rana</t>
  </si>
  <si>
    <t>Manish Nishad</t>
  </si>
  <si>
    <t>Khoman Lal Sahu</t>
  </si>
  <si>
    <t>Chandra Prakas Ratre</t>
  </si>
  <si>
    <t>Bhupendra Kumar Nishad</t>
  </si>
  <si>
    <t>Praveen Kumar Sahu</t>
  </si>
  <si>
    <t>Anil Prakash Sahu</t>
  </si>
  <si>
    <t>Dinesh Dewangan</t>
  </si>
  <si>
    <t>Sameer Dhruv</t>
  </si>
  <si>
    <t>Love Kumar Verma</t>
  </si>
  <si>
    <t>Yswant Kumar</t>
  </si>
  <si>
    <t>Purusottam</t>
  </si>
  <si>
    <t>J. N. Prasad</t>
  </si>
  <si>
    <t>Vinay Soni</t>
  </si>
  <si>
    <t>N.jagn Rao</t>
  </si>
  <si>
    <t>Nagendra Singh</t>
  </si>
  <si>
    <t>Janak (shyam sponge) Patre</t>
  </si>
  <si>
    <t>Prameswar Nishad</t>
  </si>
  <si>
    <t>Chandra Bhusan Kurre</t>
  </si>
  <si>
    <t>Om Pakash Verma</t>
  </si>
  <si>
    <t>Manu Lal Nishad</t>
  </si>
  <si>
    <t>Khem Chand Nishad</t>
  </si>
  <si>
    <t>Rahul Kumar Chandravanshi</t>
  </si>
  <si>
    <t>Kaushal kumar FEKAR</t>
  </si>
  <si>
    <t>Deepak Shindey</t>
  </si>
  <si>
    <t>Shekhar Verma</t>
  </si>
  <si>
    <t>Deepak Kumar Sahu</t>
  </si>
  <si>
    <t>Chhabi lal Nishad</t>
  </si>
  <si>
    <t>Mahendra Kumar Sonwane</t>
  </si>
  <si>
    <t>Dharmendra Kumar Maravi</t>
  </si>
  <si>
    <t>Ashok Kumar Jaiswal</t>
  </si>
  <si>
    <t>Jitendra Kumar Sahu</t>
  </si>
  <si>
    <t>K Nikhil</t>
  </si>
  <si>
    <t>Benu Ram Verma</t>
  </si>
  <si>
    <t>Kamlesh Kumar Sahu</t>
  </si>
  <si>
    <t>Himmat Kannouje</t>
  </si>
  <si>
    <t>Harisambhu Jangde</t>
  </si>
  <si>
    <t>Bhushan Kumar Sahu</t>
  </si>
  <si>
    <t>Mukesh Kumar Nishad</t>
  </si>
  <si>
    <t>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</si>
</sst>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b/>
      <sz val="10"/>
      <color rgb="FFFF0000"/>
      <name val="Cambria"/>
      <family val="1"/>
      <scheme val="major"/>
    </font>
    <font>
      <b/>
      <u/>
      <sz val="12"/>
      <color theme="1"/>
      <name val="Cambria"/>
      <family val="1"/>
      <scheme val="major"/>
    </font>
    <font>
      <b/>
      <u/>
      <sz val="10"/>
      <color theme="1"/>
      <name val="Cambria"/>
      <family val="1"/>
      <scheme val="major"/>
    </font>
    <font>
      <sz val="11"/>
      <color rgb="FFFF0000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2"/>
      <color rgb="FFFF0000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1"/>
      <color rgb="FFFF0000"/>
      <name val="Cambria"/>
      <family val="1"/>
      <scheme val="major"/>
    </font>
    <font>
      <b/>
      <sz val="11"/>
      <name val="Cambria"/>
      <family val="1"/>
      <scheme val="major"/>
    </font>
    <font>
      <i/>
      <sz val="11"/>
      <color theme="1"/>
      <name val="Cambria"/>
      <family val="1"/>
      <scheme val="major"/>
    </font>
    <font>
      <sz val="10"/>
      <name val="Arial"/>
      <family val="2"/>
    </font>
    <font>
      <sz val="11"/>
      <color theme="1"/>
      <name val="Times New Roman"/>
      <family val="2"/>
    </font>
    <font>
      <sz val="9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0000"/>
      </patternFill>
    </fill>
  </fills>
  <borders count="16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0" fontId="18" fillId="0" borderId="0"/>
    <xf numFmtId="0" fontId="19" fillId="0" borderId="0"/>
  </cellStyleXfs>
  <cellXfs count="163">
    <xf numFmtId="0" fontId="0" fillId="0" borderId="0" xfId="0"/>
    <xf numFmtId="0" fontId="2" fillId="0" borderId="0" xfId="0" applyFont="1" applyFill="1"/>
    <xf numFmtId="0" fontId="3" fillId="0" borderId="0" xfId="0" applyFont="1" applyFill="1"/>
    <xf numFmtId="0" fontId="4" fillId="0" borderId="0" xfId="0" applyFont="1" applyFill="1"/>
    <xf numFmtId="0" fontId="5" fillId="0" borderId="0" xfId="0" applyFont="1" applyFill="1"/>
    <xf numFmtId="0" fontId="4" fillId="0" borderId="1" xfId="0" applyFont="1" applyFill="1" applyBorder="1"/>
    <xf numFmtId="0" fontId="4" fillId="0" borderId="0" xfId="0" applyFont="1" applyFill="1" applyBorder="1"/>
    <xf numFmtId="0" fontId="6" fillId="0" borderId="0" xfId="0" applyFont="1" applyFill="1"/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3" fillId="0" borderId="2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 wrapText="1"/>
    </xf>
    <xf numFmtId="0" fontId="8" fillId="0" borderId="2" xfId="0" applyFont="1" applyFill="1" applyBorder="1"/>
    <xf numFmtId="0" fontId="9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/>
    <xf numFmtId="2" fontId="4" fillId="0" borderId="2" xfId="0" applyNumberFormat="1" applyFont="1" applyFill="1" applyBorder="1"/>
    <xf numFmtId="2" fontId="4" fillId="0" borderId="0" xfId="0" applyNumberFormat="1" applyFont="1" applyFill="1" applyBorder="1"/>
    <xf numFmtId="2" fontId="4" fillId="2" borderId="2" xfId="0" applyNumberFormat="1" applyFont="1" applyFill="1" applyBorder="1"/>
    <xf numFmtId="1" fontId="4" fillId="0" borderId="0" xfId="0" applyNumberFormat="1" applyFont="1" applyFill="1" applyBorder="1"/>
    <xf numFmtId="1" fontId="4" fillId="0" borderId="6" xfId="0" applyNumberFormat="1" applyFont="1" applyFill="1" applyBorder="1"/>
    <xf numFmtId="0" fontId="4" fillId="0" borderId="6" xfId="0" applyFont="1" applyFill="1" applyBorder="1"/>
    <xf numFmtId="0" fontId="4" fillId="0" borderId="7" xfId="0" applyFont="1" applyFill="1" applyBorder="1" applyAlignment="1">
      <alignment horizontal="center"/>
    </xf>
    <xf numFmtId="0" fontId="4" fillId="0" borderId="6" xfId="0" applyNumberFormat="1" applyFont="1" applyFill="1" applyBorder="1" applyAlignment="1">
      <alignment horizontal="center"/>
    </xf>
    <xf numFmtId="0" fontId="6" fillId="0" borderId="6" xfId="0" applyNumberFormat="1" applyFont="1" applyFill="1" applyBorder="1" applyAlignment="1">
      <alignment horizontal="center"/>
    </xf>
    <xf numFmtId="0" fontId="4" fillId="0" borderId="8" xfId="0" applyNumberFormat="1" applyFont="1" applyFill="1" applyBorder="1" applyAlignment="1">
      <alignment horizontal="center"/>
    </xf>
    <xf numFmtId="2" fontId="5" fillId="0" borderId="6" xfId="0" applyNumberFormat="1" applyFont="1" applyFill="1" applyBorder="1"/>
    <xf numFmtId="0" fontId="4" fillId="0" borderId="0" xfId="0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center"/>
    </xf>
    <xf numFmtId="0" fontId="6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Border="1"/>
    <xf numFmtId="0" fontId="5" fillId="0" borderId="2" xfId="0" applyFont="1" applyFill="1" applyBorder="1"/>
    <xf numFmtId="0" fontId="11" fillId="0" borderId="2" xfId="0" applyFont="1" applyFill="1" applyBorder="1"/>
    <xf numFmtId="164" fontId="4" fillId="0" borderId="0" xfId="1" applyFont="1" applyFill="1" applyBorder="1" applyAlignment="1">
      <alignment horizontal="center"/>
    </xf>
    <xf numFmtId="164" fontId="4" fillId="0" borderId="0" xfId="1" applyFont="1" applyFill="1" applyBorder="1"/>
    <xf numFmtId="0" fontId="4" fillId="0" borderId="0" xfId="1" applyNumberFormat="1" applyFont="1" applyFill="1" applyBorder="1" applyAlignment="1">
      <alignment horizontal="center"/>
    </xf>
    <xf numFmtId="0" fontId="6" fillId="0" borderId="0" xfId="1" applyNumberFormat="1" applyFont="1" applyFill="1" applyBorder="1" applyAlignment="1">
      <alignment horizontal="center"/>
    </xf>
    <xf numFmtId="0" fontId="5" fillId="0" borderId="0" xfId="1" applyNumberFormat="1" applyFont="1" applyFill="1" applyBorder="1"/>
    <xf numFmtId="0" fontId="11" fillId="0" borderId="2" xfId="0" applyFont="1" applyFill="1" applyBorder="1" applyAlignment="1"/>
    <xf numFmtId="0" fontId="4" fillId="0" borderId="2" xfId="0" quotePrefix="1" applyFont="1" applyFill="1" applyBorder="1" applyAlignment="1">
      <alignment horizontal="center"/>
    </xf>
    <xf numFmtId="166" fontId="4" fillId="0" borderId="0" xfId="0" applyNumberFormat="1" applyFont="1" applyFill="1" applyBorder="1"/>
    <xf numFmtId="0" fontId="4" fillId="3" borderId="2" xfId="0" applyFont="1" applyFill="1" applyBorder="1" applyAlignment="1">
      <alignment horizontal="center"/>
    </xf>
    <xf numFmtId="0" fontId="0" fillId="0" borderId="0" xfId="0" applyFont="1" applyFill="1"/>
    <xf numFmtId="0" fontId="4" fillId="0" borderId="9" xfId="0" applyFont="1" applyFill="1" applyBorder="1" applyAlignment="1">
      <alignment horizontal="center"/>
    </xf>
    <xf numFmtId="0" fontId="4" fillId="0" borderId="10" xfId="0" applyFont="1" applyFill="1" applyBorder="1"/>
    <xf numFmtId="49" fontId="4" fillId="0" borderId="10" xfId="0" applyNumberFormat="1" applyFont="1" applyFill="1" applyBorder="1" applyAlignment="1">
      <alignment horizontal="center"/>
    </xf>
    <xf numFmtId="49" fontId="6" fillId="0" borderId="10" xfId="0" applyNumberFormat="1" applyFont="1" applyFill="1" applyBorder="1" applyAlignment="1">
      <alignment horizontal="center"/>
    </xf>
    <xf numFmtId="2" fontId="5" fillId="0" borderId="9" xfId="0" applyNumberFormat="1" applyFont="1" applyFill="1" applyBorder="1"/>
    <xf numFmtId="49" fontId="4" fillId="0" borderId="0" xfId="0" applyNumberFormat="1" applyFont="1" applyFill="1" applyBorder="1" applyAlignment="1">
      <alignment horizontal="center"/>
    </xf>
    <xf numFmtId="49" fontId="6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/>
    <xf numFmtId="0" fontId="6" fillId="0" borderId="0" xfId="0" applyNumberFormat="1" applyFont="1" applyFill="1"/>
    <xf numFmtId="1" fontId="4" fillId="0" borderId="2" xfId="0" applyNumberFormat="1" applyFont="1" applyFill="1" applyBorder="1" applyAlignment="1">
      <alignment horizontal="center" vertical="center"/>
    </xf>
    <xf numFmtId="166" fontId="4" fillId="0" borderId="2" xfId="0" applyNumberFormat="1" applyFont="1" applyFill="1" applyBorder="1"/>
    <xf numFmtId="0" fontId="4" fillId="4" borderId="2" xfId="0" applyFont="1" applyFill="1" applyBorder="1" applyAlignment="1">
      <alignment horizontal="center"/>
    </xf>
    <xf numFmtId="166" fontId="4" fillId="2" borderId="2" xfId="0" applyNumberFormat="1" applyFont="1" applyFill="1" applyBorder="1"/>
    <xf numFmtId="166" fontId="4" fillId="0" borderId="0" xfId="0" applyNumberFormat="1" applyFont="1" applyFill="1"/>
    <xf numFmtId="0" fontId="12" fillId="0" borderId="0" xfId="0" applyFont="1" applyFill="1" applyBorder="1" applyAlignment="1">
      <alignment vertical="center" wrapText="1"/>
    </xf>
    <xf numFmtId="0" fontId="10" fillId="0" borderId="0" xfId="0" applyFont="1" applyFill="1" applyBorder="1"/>
    <xf numFmtId="1" fontId="4" fillId="0" borderId="2" xfId="0" applyNumberFormat="1" applyFont="1" applyFill="1" applyBorder="1" applyAlignment="1">
      <alignment horizontal="center"/>
    </xf>
    <xf numFmtId="0" fontId="4" fillId="0" borderId="11" xfId="0" applyNumberFormat="1" applyFont="1" applyFill="1" applyBorder="1" applyAlignment="1">
      <alignment horizontal="center"/>
    </xf>
    <xf numFmtId="0" fontId="6" fillId="0" borderId="11" xfId="0" applyNumberFormat="1" applyFont="1" applyFill="1" applyBorder="1" applyAlignment="1">
      <alignment horizontal="center"/>
    </xf>
    <xf numFmtId="2" fontId="5" fillId="0" borderId="2" xfId="0" applyNumberFormat="1" applyFont="1" applyFill="1" applyBorder="1"/>
    <xf numFmtId="0" fontId="4" fillId="0" borderId="0" xfId="0" quotePrefix="1" applyFont="1" applyFill="1" applyBorder="1" applyAlignment="1">
      <alignment horizontal="center"/>
    </xf>
    <xf numFmtId="0" fontId="5" fillId="0" borderId="0" xfId="0" applyNumberFormat="1" applyFont="1" applyFill="1" applyBorder="1"/>
    <xf numFmtId="166" fontId="4" fillId="0" borderId="0" xfId="0" applyNumberFormat="1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2" fontId="4" fillId="0" borderId="0" xfId="0" applyNumberFormat="1" applyFont="1" applyFill="1"/>
    <xf numFmtId="0" fontId="4" fillId="0" borderId="10" xfId="0" applyNumberFormat="1" applyFont="1" applyFill="1" applyBorder="1" applyAlignment="1">
      <alignment horizontal="center"/>
    </xf>
    <xf numFmtId="0" fontId="6" fillId="0" borderId="10" xfId="0" applyNumberFormat="1" applyFont="1" applyFill="1" applyBorder="1" applyAlignment="1">
      <alignment horizontal="center"/>
    </xf>
    <xf numFmtId="166" fontId="6" fillId="0" borderId="0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66" fontId="12" fillId="0" borderId="0" xfId="0" applyNumberFormat="1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1" fontId="6" fillId="0" borderId="0" xfId="0" applyNumberFormat="1" applyFont="1" applyFill="1" applyBorder="1" applyAlignment="1">
      <alignment horizontal="center"/>
    </xf>
    <xf numFmtId="166" fontId="4" fillId="0" borderId="2" xfId="0" applyNumberFormat="1" applyFont="1" applyFill="1" applyBorder="1" applyAlignment="1">
      <alignment horizontal="center"/>
    </xf>
    <xf numFmtId="2" fontId="12" fillId="0" borderId="0" xfId="0" applyNumberFormat="1" applyFont="1" applyFill="1" applyBorder="1"/>
    <xf numFmtId="0" fontId="13" fillId="0" borderId="2" xfId="0" applyFont="1" applyFill="1" applyBorder="1"/>
    <xf numFmtId="0" fontId="4" fillId="0" borderId="12" xfId="0" applyFont="1" applyFill="1" applyBorder="1"/>
    <xf numFmtId="0" fontId="11" fillId="0" borderId="0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vertical="top"/>
    </xf>
    <xf numFmtId="0" fontId="4" fillId="0" borderId="8" xfId="0" applyFont="1" applyFill="1" applyBorder="1" applyAlignment="1">
      <alignment vertical="top"/>
    </xf>
    <xf numFmtId="0" fontId="4" fillId="0" borderId="0" xfId="0" applyFont="1" applyFill="1" applyAlignment="1">
      <alignment vertical="top"/>
    </xf>
    <xf numFmtId="1" fontId="4" fillId="0" borderId="0" xfId="0" applyNumberFormat="1" applyFont="1" applyFill="1"/>
    <xf numFmtId="0" fontId="4" fillId="0" borderId="0" xfId="0" applyFont="1" applyFill="1" applyAlignment="1">
      <alignment horizontal="center" vertical="center"/>
    </xf>
    <xf numFmtId="1" fontId="4" fillId="0" borderId="0" xfId="0" applyNumberFormat="1" applyFont="1" applyFill="1" applyAlignment="1">
      <alignment horizontal="center"/>
    </xf>
    <xf numFmtId="2" fontId="10" fillId="0" borderId="0" xfId="0" applyNumberFormat="1" applyFont="1" applyFill="1" applyBorder="1"/>
    <xf numFmtId="0" fontId="4" fillId="0" borderId="13" xfId="0" applyNumberFormat="1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1" fontId="4" fillId="4" borderId="0" xfId="0" applyNumberFormat="1" applyFont="1" applyFill="1" applyBorder="1"/>
    <xf numFmtId="0" fontId="4" fillId="0" borderId="2" xfId="0" applyNumberFormat="1" applyFont="1" applyFill="1" applyBorder="1" applyAlignment="1">
      <alignment horizontal="center"/>
    </xf>
    <xf numFmtId="0" fontId="6" fillId="0" borderId="2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Border="1"/>
    <xf numFmtId="0" fontId="5" fillId="0" borderId="3" xfId="0" applyFont="1" applyFill="1" applyBorder="1" applyAlignment="1">
      <alignment vertical="center" wrapText="1"/>
    </xf>
    <xf numFmtId="166" fontId="14" fillId="0" borderId="2" xfId="0" applyNumberFormat="1" applyFont="1" applyFill="1" applyBorder="1"/>
    <xf numFmtId="0" fontId="4" fillId="0" borderId="14" xfId="0" applyFont="1" applyFill="1" applyBorder="1" applyAlignment="1">
      <alignment horizontal="center"/>
    </xf>
    <xf numFmtId="2" fontId="5" fillId="0" borderId="5" xfId="0" applyNumberFormat="1" applyFont="1" applyFill="1" applyBorder="1"/>
    <xf numFmtId="2" fontId="4" fillId="0" borderId="14" xfId="0" applyNumberFormat="1" applyFont="1" applyFill="1" applyBorder="1"/>
    <xf numFmtId="0" fontId="4" fillId="4" borderId="14" xfId="0" applyFont="1" applyFill="1" applyBorder="1" applyAlignment="1">
      <alignment horizontal="center"/>
    </xf>
    <xf numFmtId="1" fontId="4" fillId="4" borderId="2" xfId="0" applyNumberFormat="1" applyFont="1" applyFill="1" applyBorder="1" applyAlignment="1">
      <alignment horizontal="center"/>
    </xf>
    <xf numFmtId="1" fontId="4" fillId="4" borderId="14" xfId="0" applyNumberFormat="1" applyFont="1" applyFill="1" applyBorder="1" applyAlignment="1">
      <alignment horizontal="center"/>
    </xf>
    <xf numFmtId="1" fontId="4" fillId="0" borderId="14" xfId="0" applyNumberFormat="1" applyFont="1" applyFill="1" applyBorder="1" applyAlignment="1">
      <alignment horizontal="center"/>
    </xf>
    <xf numFmtId="1" fontId="5" fillId="0" borderId="5" xfId="0" applyNumberFormat="1" applyFont="1" applyFill="1" applyBorder="1"/>
    <xf numFmtId="1" fontId="4" fillId="0" borderId="14" xfId="0" applyNumberFormat="1" applyFont="1" applyFill="1" applyBorder="1"/>
    <xf numFmtId="1" fontId="4" fillId="0" borderId="13" xfId="0" applyNumberFormat="1" applyFont="1" applyFill="1" applyBorder="1"/>
    <xf numFmtId="0" fontId="4" fillId="0" borderId="13" xfId="0" applyFont="1" applyFill="1" applyBorder="1"/>
    <xf numFmtId="1" fontId="10" fillId="0" borderId="2" xfId="0" applyNumberFormat="1" applyFont="1" applyFill="1" applyBorder="1" applyAlignment="1">
      <alignment horizontal="center" vertical="center"/>
    </xf>
    <xf numFmtId="0" fontId="10" fillId="0" borderId="13" xfId="0" applyFont="1" applyFill="1" applyBorder="1"/>
    <xf numFmtId="2" fontId="15" fillId="0" borderId="5" xfId="0" applyNumberFormat="1" applyFont="1" applyFill="1" applyBorder="1"/>
    <xf numFmtId="2" fontId="10" fillId="0" borderId="14" xfId="0" applyNumberFormat="1" applyFont="1" applyFill="1" applyBorder="1"/>
    <xf numFmtId="0" fontId="10" fillId="0" borderId="0" xfId="0" applyFont="1" applyFill="1"/>
    <xf numFmtId="2" fontId="16" fillId="0" borderId="5" xfId="0" applyNumberFormat="1" applyFont="1" applyFill="1" applyBorder="1"/>
    <xf numFmtId="1" fontId="4" fillId="0" borderId="0" xfId="0" applyNumberFormat="1" applyFont="1" applyFill="1" applyBorder="1" applyAlignment="1">
      <alignment horizontal="center"/>
    </xf>
    <xf numFmtId="0" fontId="4" fillId="0" borderId="14" xfId="0" applyFont="1" applyFill="1" applyBorder="1"/>
    <xf numFmtId="166" fontId="17" fillId="2" borderId="2" xfId="0" applyNumberFormat="1" applyFont="1" applyFill="1" applyBorder="1"/>
    <xf numFmtId="0" fontId="4" fillId="3" borderId="14" xfId="0" applyFont="1" applyFill="1" applyBorder="1" applyAlignment="1">
      <alignment horizontal="center"/>
    </xf>
    <xf numFmtId="0" fontId="10" fillId="0" borderId="2" xfId="0" applyFont="1" applyFill="1" applyBorder="1"/>
    <xf numFmtId="1" fontId="4" fillId="4" borderId="0" xfId="0" applyNumberFormat="1" applyFont="1" applyFill="1"/>
    <xf numFmtId="2" fontId="5" fillId="0" borderId="8" xfId="0" applyNumberFormat="1" applyFont="1" applyFill="1" applyBorder="1"/>
    <xf numFmtId="2" fontId="4" fillId="0" borderId="5" xfId="0" applyNumberFormat="1" applyFont="1" applyFill="1" applyBorder="1"/>
    <xf numFmtId="0" fontId="4" fillId="4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166" fontId="4" fillId="3" borderId="2" xfId="0" applyNumberFormat="1" applyFont="1" applyFill="1" applyBorder="1"/>
    <xf numFmtId="0" fontId="4" fillId="0" borderId="2" xfId="0" applyFont="1" applyFill="1" applyBorder="1" applyAlignment="1">
      <alignment horizontal="center" vertical="center"/>
    </xf>
    <xf numFmtId="0" fontId="6" fillId="0" borderId="2" xfId="0" applyFont="1" applyFill="1" applyBorder="1"/>
    <xf numFmtId="0" fontId="4" fillId="0" borderId="5" xfId="0" applyFont="1" applyFill="1" applyBorder="1"/>
    <xf numFmtId="0" fontId="20" fillId="5" borderId="15" xfId="0" applyFont="1" applyFill="1" applyBorder="1" applyAlignment="1">
      <alignment horizontal="center" vertical="center" wrapText="1"/>
    </xf>
    <xf numFmtId="0" fontId="20" fillId="6" borderId="15" xfId="0" applyFont="1" applyFill="1" applyBorder="1" applyAlignment="1">
      <alignment horizontal="center" vertical="center" wrapText="1"/>
    </xf>
    <xf numFmtId="0" fontId="3" fillId="0" borderId="4" xfId="0" applyNumberFormat="1" applyFont="1" applyFill="1" applyBorder="1" applyAlignment="1">
      <alignment horizontal="center" vertical="center" wrapText="1"/>
    </xf>
    <xf numFmtId="0" fontId="3" fillId="0" borderId="7" xfId="0" applyNumberFormat="1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/>
    </xf>
    <xf numFmtId="0" fontId="4" fillId="7" borderId="2" xfId="0" applyFont="1" applyFill="1" applyBorder="1"/>
    <xf numFmtId="2" fontId="4" fillId="7" borderId="2" xfId="0" applyNumberFormat="1" applyFont="1" applyFill="1" applyBorder="1"/>
    <xf numFmtId="0" fontId="4" fillId="7" borderId="0" xfId="0" applyFont="1" applyFill="1"/>
    <xf numFmtId="2" fontId="4" fillId="7" borderId="0" xfId="0" applyNumberFormat="1" applyFont="1" applyFill="1" applyBorder="1"/>
    <xf numFmtId="0" fontId="4" fillId="7" borderId="3" xfId="0" applyFont="1" applyFill="1" applyBorder="1"/>
    <xf numFmtId="1" fontId="4" fillId="7" borderId="0" xfId="0" applyNumberFormat="1" applyFont="1" applyFill="1" applyBorder="1"/>
    <xf numFmtId="1" fontId="10" fillId="7" borderId="0" xfId="0" applyNumberFormat="1" applyFont="1" applyFill="1" applyBorder="1"/>
    <xf numFmtId="0" fontId="4" fillId="7" borderId="4" xfId="0" applyFont="1" applyFill="1" applyBorder="1"/>
    <xf numFmtId="0" fontId="20" fillId="8" borderId="15" xfId="0" applyFont="1" applyFill="1" applyBorder="1" applyAlignment="1">
      <alignment horizontal="left" vertical="center" wrapText="1"/>
    </xf>
    <xf numFmtId="0" fontId="4" fillId="7" borderId="5" xfId="0" applyFont="1" applyFill="1" applyBorder="1"/>
    <xf numFmtId="0" fontId="4" fillId="7" borderId="5" xfId="0" applyFont="1" applyFill="1" applyBorder="1" applyAlignment="1">
      <alignment horizontal="center"/>
    </xf>
    <xf numFmtId="1" fontId="4" fillId="7" borderId="6" xfId="0" applyNumberFormat="1" applyFont="1" applyFill="1" applyBorder="1"/>
    <xf numFmtId="0" fontId="4" fillId="7" borderId="6" xfId="0" applyFont="1" applyFill="1" applyBorder="1"/>
    <xf numFmtId="0" fontId="3" fillId="7" borderId="0" xfId="0" applyFont="1" applyFill="1" applyBorder="1" applyAlignment="1">
      <alignment horizontal="center" vertical="center" wrapText="1"/>
    </xf>
    <xf numFmtId="0" fontId="4" fillId="7" borderId="2" xfId="0" quotePrefix="1" applyFont="1" applyFill="1" applyBorder="1" applyAlignment="1">
      <alignment horizontal="center"/>
    </xf>
    <xf numFmtId="0" fontId="4" fillId="4" borderId="2" xfId="0" quotePrefix="1" applyFont="1" applyFill="1" applyBorder="1" applyAlignment="1">
      <alignment horizontal="center"/>
    </xf>
    <xf numFmtId="0" fontId="4" fillId="4" borderId="2" xfId="0" applyFont="1" applyFill="1" applyBorder="1"/>
    <xf numFmtId="2" fontId="4" fillId="4" borderId="2" xfId="0" applyNumberFormat="1" applyFont="1" applyFill="1" applyBorder="1"/>
    <xf numFmtId="2" fontId="4" fillId="4" borderId="0" xfId="0" applyNumberFormat="1" applyFont="1" applyFill="1" applyBorder="1"/>
    <xf numFmtId="0" fontId="4" fillId="4" borderId="0" xfId="0" applyFont="1" applyFill="1"/>
    <xf numFmtId="1" fontId="4" fillId="7" borderId="2" xfId="0" applyNumberFormat="1" applyFont="1" applyFill="1" applyBorder="1"/>
    <xf numFmtId="166" fontId="4" fillId="7" borderId="2" xfId="0" applyNumberFormat="1" applyFont="1" applyFill="1" applyBorder="1"/>
    <xf numFmtId="166" fontId="4" fillId="7" borderId="0" xfId="0" applyNumberFormat="1" applyFont="1" applyFill="1" applyBorder="1"/>
    <xf numFmtId="2" fontId="4" fillId="7" borderId="0" xfId="0" applyNumberFormat="1" applyFont="1" applyFill="1" applyBorder="1" applyAlignment="1"/>
  </cellXfs>
  <cellStyles count="7">
    <cellStyle name="Comma 2" xfId="2" xr:uid="{00000000-0005-0000-0000-000000000000}"/>
    <cellStyle name="Comma 2 2" xfId="3" xr:uid="{00000000-0005-0000-0000-000001000000}"/>
    <cellStyle name="Currency" xfId="1" builtinId="4"/>
    <cellStyle name="Normal" xfId="0" builtinId="0"/>
    <cellStyle name="Normal 2" xfId="4" xr:uid="{00000000-0005-0000-0000-000004000000}"/>
    <cellStyle name="Normal 2 2" xfId="5" xr:uid="{00000000-0005-0000-0000-000005000000}"/>
    <cellStyle name="Normal 3" xfId="6" xr:uid="{00000000-0005-0000-0000-000006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o_ku/Downloads/EmployeeReport_2025-12-18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sheet"/>
    </sheetNames>
    <sheetDataSet>
      <sheetData sheetId="0">
        <row r="6">
          <cell r="B6" t="str">
            <v>Reporting Manager</v>
          </cell>
          <cell r="C6" t="str">
            <v>SSI001</v>
          </cell>
        </row>
        <row r="7">
          <cell r="B7" t="str">
            <v>Awadh Ram Sahu</v>
          </cell>
          <cell r="C7" t="str">
            <v>SSI002</v>
          </cell>
        </row>
        <row r="8">
          <cell r="B8" t="str">
            <v>Nagendra Tiwari</v>
          </cell>
          <cell r="C8" t="str">
            <v>SSI003</v>
          </cell>
        </row>
        <row r="9">
          <cell r="B9" t="str">
            <v>Nagendra Singh</v>
          </cell>
          <cell r="C9" t="str">
            <v>SSI004</v>
          </cell>
        </row>
        <row r="10">
          <cell r="B10" t="str">
            <v>Peela Ram</v>
          </cell>
          <cell r="C10" t="str">
            <v>SSI005</v>
          </cell>
        </row>
        <row r="11">
          <cell r="B11" t="str">
            <v>Randhir Singh</v>
          </cell>
          <cell r="C11" t="str">
            <v>SSI006</v>
          </cell>
        </row>
        <row r="12">
          <cell r="B12" t="str">
            <v>Naresh Singh</v>
          </cell>
          <cell r="C12" t="str">
            <v>SSI007</v>
          </cell>
        </row>
        <row r="13">
          <cell r="B13" t="str">
            <v>J. N. Prasad</v>
          </cell>
          <cell r="C13" t="str">
            <v>SSI008</v>
          </cell>
        </row>
        <row r="14">
          <cell r="B14" t="str">
            <v>Divesh Sinha</v>
          </cell>
          <cell r="C14" t="str">
            <v>SSI009</v>
          </cell>
        </row>
        <row r="15">
          <cell r="B15" t="str">
            <v>Baldev Prasad</v>
          </cell>
          <cell r="C15" t="str">
            <v>SSI010</v>
          </cell>
        </row>
        <row r="16">
          <cell r="B16" t="str">
            <v>Janak (shyam sponge) Patre</v>
          </cell>
          <cell r="C16" t="str">
            <v>SSI011</v>
          </cell>
        </row>
        <row r="17">
          <cell r="B17" t="str">
            <v>Prameswar Nishad</v>
          </cell>
          <cell r="C17" t="str">
            <v>SSI012</v>
          </cell>
        </row>
        <row r="18">
          <cell r="B18" t="str">
            <v>Kalinga Kumar Seth</v>
          </cell>
          <cell r="C18" t="str">
            <v>SSI013</v>
          </cell>
        </row>
        <row r="19">
          <cell r="B19" t="str">
            <v>Shubham Goshwami</v>
          </cell>
          <cell r="C19" t="str">
            <v>SSI014</v>
          </cell>
        </row>
        <row r="20">
          <cell r="B20" t="str">
            <v>Ashok Sahu</v>
          </cell>
          <cell r="C20" t="str">
            <v>SSI015</v>
          </cell>
        </row>
        <row r="21">
          <cell r="B21" t="str">
            <v>Chandra Bhusan Kurre</v>
          </cell>
          <cell r="C21" t="str">
            <v>SSI016</v>
          </cell>
        </row>
        <row r="22">
          <cell r="B22" t="str">
            <v>Sundar Agrawal</v>
          </cell>
          <cell r="C22" t="str">
            <v>SSI017</v>
          </cell>
        </row>
        <row r="23">
          <cell r="B23" t="str">
            <v>Amit Chauhan</v>
          </cell>
          <cell r="C23" t="str">
            <v>SSI018</v>
          </cell>
        </row>
        <row r="24">
          <cell r="B24" t="str">
            <v>Kishor Nishad</v>
          </cell>
          <cell r="C24" t="str">
            <v>SSI019</v>
          </cell>
        </row>
        <row r="25">
          <cell r="B25" t="str">
            <v>Johan Lal Nishad</v>
          </cell>
          <cell r="C25" t="str">
            <v>SSI020</v>
          </cell>
        </row>
        <row r="26">
          <cell r="B26" t="str">
            <v>Tejnath Bharti</v>
          </cell>
          <cell r="C26" t="str">
            <v>SSI021</v>
          </cell>
        </row>
        <row r="27">
          <cell r="B27" t="str">
            <v>Sonu Sahu</v>
          </cell>
          <cell r="C27" t="str">
            <v>SSI022</v>
          </cell>
        </row>
        <row r="28">
          <cell r="B28" t="str">
            <v>Ashok kumar BAKCHHAL</v>
          </cell>
          <cell r="C28" t="str">
            <v>SSI023</v>
          </cell>
        </row>
        <row r="29">
          <cell r="B29" t="str">
            <v>Jitendra Kumar</v>
          </cell>
          <cell r="C29" t="str">
            <v>SSI024</v>
          </cell>
        </row>
        <row r="30">
          <cell r="B30" t="str">
            <v>Krishna Nishad</v>
          </cell>
          <cell r="C30" t="str">
            <v>SSI025</v>
          </cell>
        </row>
        <row r="31">
          <cell r="B31" t="str">
            <v>Arjun Yadav</v>
          </cell>
          <cell r="C31" t="str">
            <v>SSI026</v>
          </cell>
        </row>
        <row r="32">
          <cell r="B32" t="str">
            <v>Deepak Nishad</v>
          </cell>
          <cell r="C32" t="str">
            <v>SSI027</v>
          </cell>
        </row>
        <row r="33">
          <cell r="B33" t="str">
            <v>Motilal Jaiswal</v>
          </cell>
          <cell r="C33" t="str">
            <v>SSI028</v>
          </cell>
        </row>
        <row r="34">
          <cell r="B34" t="str">
            <v>Basant Lal</v>
          </cell>
          <cell r="C34" t="str">
            <v>SSI029</v>
          </cell>
        </row>
        <row r="35">
          <cell r="B35" t="str">
            <v>Suresh Rawat</v>
          </cell>
          <cell r="C35" t="str">
            <v>SSI030</v>
          </cell>
        </row>
        <row r="36">
          <cell r="B36" t="str">
            <v>L.N. Verma</v>
          </cell>
          <cell r="C36" t="str">
            <v>SSI031</v>
          </cell>
        </row>
        <row r="37">
          <cell r="B37" t="str">
            <v>Om Pakash Verma</v>
          </cell>
          <cell r="C37" t="str">
            <v>SSI032</v>
          </cell>
        </row>
        <row r="38">
          <cell r="B38" t="str">
            <v>Mantosh Yadav</v>
          </cell>
          <cell r="C38" t="str">
            <v>SSI033</v>
          </cell>
        </row>
        <row r="39">
          <cell r="B39" t="str">
            <v>Nirbhay Pratap Singh</v>
          </cell>
          <cell r="C39" t="str">
            <v>SSI034</v>
          </cell>
        </row>
        <row r="40">
          <cell r="B40" t="str">
            <v>Sumant Verma</v>
          </cell>
          <cell r="C40" t="str">
            <v>SSI035</v>
          </cell>
        </row>
        <row r="41">
          <cell r="B41" t="str">
            <v>Santosh Kumar Tawde</v>
          </cell>
          <cell r="C41" t="str">
            <v>SSI036</v>
          </cell>
        </row>
        <row r="42">
          <cell r="B42" t="str">
            <v>Rajendra Bani</v>
          </cell>
          <cell r="C42" t="str">
            <v>SSI037</v>
          </cell>
        </row>
        <row r="43">
          <cell r="B43" t="str">
            <v>Roshan Nishad</v>
          </cell>
          <cell r="C43" t="str">
            <v>SSI038</v>
          </cell>
        </row>
        <row r="44">
          <cell r="B44" t="str">
            <v>Chhatrapal Chandrakar</v>
          </cell>
          <cell r="C44" t="str">
            <v>SSI039</v>
          </cell>
        </row>
        <row r="45">
          <cell r="B45" t="str">
            <v>Heera Lal Nishad</v>
          </cell>
          <cell r="C45" t="str">
            <v>SSI040</v>
          </cell>
        </row>
        <row r="46">
          <cell r="B46" t="str">
            <v>Deepak Nishad</v>
          </cell>
          <cell r="C46" t="str">
            <v>SSI041</v>
          </cell>
        </row>
        <row r="47">
          <cell r="B47" t="str">
            <v>Suresh Verma</v>
          </cell>
          <cell r="C47" t="str">
            <v>SSI042</v>
          </cell>
        </row>
        <row r="48">
          <cell r="B48" t="str">
            <v>Umesh Yadav</v>
          </cell>
          <cell r="C48" t="str">
            <v>SSI043</v>
          </cell>
        </row>
        <row r="49">
          <cell r="B49" t="str">
            <v>Mritunjay Singh</v>
          </cell>
          <cell r="C49" t="str">
            <v>SSI044</v>
          </cell>
        </row>
        <row r="50">
          <cell r="B50" t="str">
            <v>Deepak Verma</v>
          </cell>
          <cell r="C50" t="str">
            <v>SSI045</v>
          </cell>
        </row>
        <row r="51">
          <cell r="B51" t="str">
            <v>Rajesh Sahu</v>
          </cell>
          <cell r="C51" t="str">
            <v>SSI046</v>
          </cell>
        </row>
        <row r="52">
          <cell r="B52" t="str">
            <v>Manish Kumar Baghel</v>
          </cell>
          <cell r="C52" t="str">
            <v>SSI047</v>
          </cell>
        </row>
        <row r="53">
          <cell r="B53" t="str">
            <v>Amit Kumar Baghel</v>
          </cell>
          <cell r="C53" t="str">
            <v>SSI048</v>
          </cell>
        </row>
        <row r="54">
          <cell r="B54" t="str">
            <v>Manu Lal Nishad</v>
          </cell>
          <cell r="C54" t="str">
            <v>SSI049</v>
          </cell>
        </row>
        <row r="55">
          <cell r="B55" t="str">
            <v>Akashay Deshlahare</v>
          </cell>
          <cell r="C55" t="str">
            <v>SSI050</v>
          </cell>
        </row>
        <row r="56">
          <cell r="B56" t="str">
            <v>Devraj Singh Kashyap</v>
          </cell>
          <cell r="C56" t="str">
            <v>SSI051</v>
          </cell>
        </row>
        <row r="57">
          <cell r="B57" t="str">
            <v>Virendra Dhruw</v>
          </cell>
          <cell r="C57" t="str">
            <v>SSI052</v>
          </cell>
        </row>
        <row r="58">
          <cell r="B58" t="str">
            <v>Sushil Yadav</v>
          </cell>
          <cell r="C58" t="str">
            <v>SSI053</v>
          </cell>
        </row>
        <row r="59">
          <cell r="B59" t="str">
            <v>Sanjiv Nishad</v>
          </cell>
          <cell r="C59" t="str">
            <v>SSI054</v>
          </cell>
        </row>
        <row r="60">
          <cell r="B60" t="str">
            <v>Khem Chand Nishad</v>
          </cell>
          <cell r="C60" t="str">
            <v>SSI055</v>
          </cell>
        </row>
        <row r="61">
          <cell r="B61" t="str">
            <v>Sudhansu Singh</v>
          </cell>
          <cell r="C61" t="str">
            <v>SSI056</v>
          </cell>
        </row>
        <row r="62">
          <cell r="B62" t="str">
            <v>Devlal Patel</v>
          </cell>
          <cell r="C62" t="str">
            <v>SSI057</v>
          </cell>
        </row>
        <row r="63">
          <cell r="B63" t="str">
            <v>Rahul Kumar Chandravanshi</v>
          </cell>
          <cell r="C63" t="str">
            <v>SSI058</v>
          </cell>
        </row>
        <row r="64">
          <cell r="B64" t="str">
            <v>Devendra Verma</v>
          </cell>
          <cell r="C64" t="str">
            <v>SSI059</v>
          </cell>
        </row>
        <row r="65">
          <cell r="B65" t="str">
            <v>Kaushal kumar FEKAR</v>
          </cell>
          <cell r="C65" t="str">
            <v>SSI060</v>
          </cell>
        </row>
        <row r="66">
          <cell r="B66" t="str">
            <v>Amrit Lal Markandey</v>
          </cell>
          <cell r="C66" t="str">
            <v>SSI061</v>
          </cell>
        </row>
        <row r="67">
          <cell r="B67" t="str">
            <v>Rakesh Kumar Nishad</v>
          </cell>
          <cell r="C67" t="str">
            <v>SSI062</v>
          </cell>
        </row>
        <row r="68">
          <cell r="B68" t="str">
            <v>Gajendra Verma</v>
          </cell>
          <cell r="C68" t="str">
            <v>SSI063</v>
          </cell>
        </row>
        <row r="69">
          <cell r="B69" t="str">
            <v>Kumar Chand Nishad</v>
          </cell>
          <cell r="C69" t="str">
            <v>SSI064</v>
          </cell>
        </row>
        <row r="70">
          <cell r="B70" t="str">
            <v>Jairam Sahu</v>
          </cell>
          <cell r="C70" t="str">
            <v>SSI065</v>
          </cell>
        </row>
        <row r="71">
          <cell r="B71" t="str">
            <v>Pankaj Sahu</v>
          </cell>
          <cell r="C71" t="str">
            <v>SSI066</v>
          </cell>
        </row>
        <row r="72">
          <cell r="B72" t="str">
            <v>Tomesh Kumar Dhruv</v>
          </cell>
          <cell r="C72" t="str">
            <v>SSI067</v>
          </cell>
        </row>
        <row r="73">
          <cell r="B73" t="str">
            <v>Deepak Shindey</v>
          </cell>
          <cell r="C73" t="str">
            <v>SSI068</v>
          </cell>
        </row>
        <row r="74">
          <cell r="B74" t="str">
            <v>Sewaram Yadav</v>
          </cell>
          <cell r="C74" t="str">
            <v>SSI069</v>
          </cell>
        </row>
        <row r="75">
          <cell r="B75" t="str">
            <v>Suresh Nishad</v>
          </cell>
          <cell r="C75" t="str">
            <v>SSI070</v>
          </cell>
        </row>
        <row r="76">
          <cell r="B76" t="str">
            <v>Shekhar Verma</v>
          </cell>
          <cell r="C76" t="str">
            <v>SSI071</v>
          </cell>
        </row>
        <row r="77">
          <cell r="B77" t="str">
            <v>Somnath Mahara</v>
          </cell>
          <cell r="C77" t="str">
            <v>SSI072</v>
          </cell>
        </row>
        <row r="78">
          <cell r="B78" t="str">
            <v>Deepak Kumar Sahu</v>
          </cell>
          <cell r="C78" t="str">
            <v>SSI073</v>
          </cell>
        </row>
        <row r="79">
          <cell r="B79" t="str">
            <v>Yaswant Sahu</v>
          </cell>
          <cell r="C79" t="str">
            <v>SSI074</v>
          </cell>
        </row>
        <row r="80">
          <cell r="B80" t="str">
            <v>Take Ram Chekradhari</v>
          </cell>
          <cell r="C80" t="str">
            <v>SSI075</v>
          </cell>
        </row>
        <row r="81">
          <cell r="B81" t="str">
            <v>Hiresh Nishad</v>
          </cell>
          <cell r="C81" t="str">
            <v>SSI076</v>
          </cell>
        </row>
        <row r="82">
          <cell r="B82" t="str">
            <v>Karishna Kuamar Bawane</v>
          </cell>
          <cell r="C82" t="str">
            <v>SSI077</v>
          </cell>
        </row>
        <row r="83">
          <cell r="B83" t="str">
            <v>Dagendra Sahu</v>
          </cell>
          <cell r="C83" t="str">
            <v>SSI078</v>
          </cell>
        </row>
        <row r="84">
          <cell r="B84" t="str">
            <v>Sanjay Singh</v>
          </cell>
          <cell r="C84" t="str">
            <v>SSI079</v>
          </cell>
        </row>
        <row r="85">
          <cell r="B85" t="str">
            <v>Rakesh Kumar Mourya</v>
          </cell>
          <cell r="C85" t="str">
            <v>SSI080</v>
          </cell>
        </row>
        <row r="86">
          <cell r="B86" t="str">
            <v>Pradeep Kumar</v>
          </cell>
          <cell r="C86" t="str">
            <v>SSI081</v>
          </cell>
        </row>
        <row r="87">
          <cell r="B87" t="str">
            <v>Ashwani Sahu</v>
          </cell>
          <cell r="C87" t="str">
            <v>SSI082</v>
          </cell>
        </row>
        <row r="88">
          <cell r="B88" t="str">
            <v>Moti Ram Tondon</v>
          </cell>
          <cell r="C88" t="str">
            <v>SSI083</v>
          </cell>
        </row>
        <row r="89">
          <cell r="B89" t="str">
            <v>Ashok Rana</v>
          </cell>
          <cell r="C89" t="str">
            <v>SSI084</v>
          </cell>
        </row>
        <row r="90">
          <cell r="B90" t="str">
            <v>Chhabi lal Nishad</v>
          </cell>
          <cell r="C90" t="str">
            <v>SSI085</v>
          </cell>
        </row>
        <row r="91">
          <cell r="B91" t="str">
            <v>Mahendra Kumar Sonwane</v>
          </cell>
          <cell r="C91" t="str">
            <v>SSI086</v>
          </cell>
        </row>
        <row r="92">
          <cell r="B92" t="str">
            <v>Tota Raj Patre</v>
          </cell>
          <cell r="C92" t="str">
            <v>SSI087</v>
          </cell>
        </row>
        <row r="93">
          <cell r="B93" t="str">
            <v>Mr. Deepak Kumar Nishad</v>
          </cell>
          <cell r="C93" t="str">
            <v>SSI088</v>
          </cell>
        </row>
        <row r="94">
          <cell r="B94" t="str">
            <v>Vikas Pandit</v>
          </cell>
          <cell r="C94" t="str">
            <v>SSI089</v>
          </cell>
        </row>
        <row r="95">
          <cell r="B95" t="str">
            <v>Pradeep Kumar Yadav</v>
          </cell>
          <cell r="C95" t="str">
            <v>SSI090</v>
          </cell>
        </row>
        <row r="96">
          <cell r="B96" t="str">
            <v>Deepak Nishad</v>
          </cell>
          <cell r="C96" t="str">
            <v>SSI091</v>
          </cell>
        </row>
        <row r="97">
          <cell r="B97" t="str">
            <v>Dinesh Katre</v>
          </cell>
          <cell r="C97" t="str">
            <v>SSI092</v>
          </cell>
        </row>
        <row r="98">
          <cell r="B98" t="str">
            <v>Niranjan Patle</v>
          </cell>
          <cell r="C98" t="str">
            <v>SSI093</v>
          </cell>
        </row>
        <row r="99">
          <cell r="B99" t="str">
            <v>Manish Nishad</v>
          </cell>
          <cell r="C99" t="str">
            <v>SSI094</v>
          </cell>
        </row>
        <row r="100">
          <cell r="B100" t="str">
            <v>Sunil Kumar</v>
          </cell>
          <cell r="C100" t="str">
            <v>SSI095</v>
          </cell>
        </row>
        <row r="101">
          <cell r="B101" t="str">
            <v>Dharmendra Kumar Maravi</v>
          </cell>
          <cell r="C101" t="str">
            <v>SSI096</v>
          </cell>
        </row>
        <row r="102">
          <cell r="B102" t="str">
            <v>Brijesh kumar Singh</v>
          </cell>
          <cell r="C102" t="str">
            <v>SSI097</v>
          </cell>
        </row>
        <row r="103">
          <cell r="B103" t="str">
            <v>Abhishek Sukla</v>
          </cell>
          <cell r="C103" t="str">
            <v>SSI098</v>
          </cell>
        </row>
        <row r="104">
          <cell r="B104" t="str">
            <v>Gend Ram Sahu</v>
          </cell>
          <cell r="C104" t="str">
            <v>SSI099</v>
          </cell>
        </row>
        <row r="105">
          <cell r="B105" t="str">
            <v>Ashok Kumar Jaiswal</v>
          </cell>
          <cell r="C105" t="str">
            <v>SSI100</v>
          </cell>
        </row>
        <row r="106">
          <cell r="B106" t="str">
            <v>Akhilesh Pandey</v>
          </cell>
          <cell r="C106" t="str">
            <v>SSI101</v>
          </cell>
        </row>
        <row r="107">
          <cell r="B107" t="str">
            <v>Sandeep Kumar Nishad</v>
          </cell>
          <cell r="C107" t="str">
            <v>SSI102</v>
          </cell>
        </row>
        <row r="108">
          <cell r="B108" t="str">
            <v>Birendra Kumar Lahari</v>
          </cell>
          <cell r="C108" t="str">
            <v>SSI103</v>
          </cell>
        </row>
        <row r="109">
          <cell r="B109" t="str">
            <v>Devendra Kumar Joshi</v>
          </cell>
          <cell r="C109" t="str">
            <v>SSI104</v>
          </cell>
        </row>
        <row r="110">
          <cell r="B110" t="str">
            <v>Hemant Kumar Gayakwad</v>
          </cell>
          <cell r="C110" t="str">
            <v>SSI105</v>
          </cell>
        </row>
        <row r="111">
          <cell r="B111" t="str">
            <v>Tulsi Ram Verma</v>
          </cell>
          <cell r="C111" t="str">
            <v>SSI106</v>
          </cell>
        </row>
        <row r="112">
          <cell r="B112" t="str">
            <v>Neeraj Kumar Marathe</v>
          </cell>
          <cell r="C112" t="str">
            <v>SSI107</v>
          </cell>
        </row>
        <row r="113">
          <cell r="B113" t="str">
            <v>Navdeep Kurre</v>
          </cell>
          <cell r="C113" t="str">
            <v>SSI108</v>
          </cell>
        </row>
        <row r="114">
          <cell r="B114" t="str">
            <v>Shankar Lal Verma</v>
          </cell>
          <cell r="C114" t="str">
            <v>SSI109</v>
          </cell>
        </row>
        <row r="115">
          <cell r="B115" t="str">
            <v>Santosh Kumar Verma</v>
          </cell>
          <cell r="C115" t="str">
            <v>SSI110</v>
          </cell>
        </row>
        <row r="116">
          <cell r="B116" t="str">
            <v>Anil Verma</v>
          </cell>
          <cell r="C116" t="str">
            <v>SSI111</v>
          </cell>
        </row>
        <row r="117">
          <cell r="B117" t="str">
            <v>Hirendra Kumar Verma</v>
          </cell>
          <cell r="C117" t="str">
            <v>SSI112</v>
          </cell>
        </row>
        <row r="118">
          <cell r="B118" t="str">
            <v>Jitendra Kumar Sahu</v>
          </cell>
          <cell r="C118" t="str">
            <v>SSI113</v>
          </cell>
        </row>
        <row r="119">
          <cell r="B119" t="str">
            <v>Purohit Nishad</v>
          </cell>
          <cell r="C119" t="str">
            <v>SSI114</v>
          </cell>
        </row>
        <row r="120">
          <cell r="B120" t="str">
            <v>Bhagwat Nirmalkar</v>
          </cell>
          <cell r="C120" t="str">
            <v>SSI115</v>
          </cell>
        </row>
        <row r="121">
          <cell r="B121" t="str">
            <v>Bharat lal Verma</v>
          </cell>
          <cell r="C121" t="str">
            <v>SSI116</v>
          </cell>
        </row>
        <row r="122">
          <cell r="B122" t="str">
            <v>Sona Ram</v>
          </cell>
          <cell r="C122" t="str">
            <v>SSI117</v>
          </cell>
        </row>
        <row r="123">
          <cell r="B123" t="str">
            <v>Pratap Joshi</v>
          </cell>
          <cell r="C123" t="str">
            <v>SSI118</v>
          </cell>
        </row>
        <row r="124">
          <cell r="B124" t="str">
            <v>Narottam Dhruv</v>
          </cell>
          <cell r="C124" t="str">
            <v>SSI119</v>
          </cell>
        </row>
        <row r="125">
          <cell r="B125" t="str">
            <v>Jayant Kumar Sahu</v>
          </cell>
          <cell r="C125" t="str">
            <v>SSI120</v>
          </cell>
        </row>
        <row r="126">
          <cell r="B126" t="str">
            <v>Kishoree Nahak</v>
          </cell>
          <cell r="C126" t="str">
            <v>SSI121</v>
          </cell>
        </row>
        <row r="127">
          <cell r="B127" t="str">
            <v>Panchram Nishad</v>
          </cell>
          <cell r="C127" t="str">
            <v>SSI122</v>
          </cell>
        </row>
        <row r="128">
          <cell r="B128" t="str">
            <v>K Nikhil</v>
          </cell>
          <cell r="C128" t="str">
            <v>SSI123</v>
          </cell>
        </row>
        <row r="129">
          <cell r="B129" t="str">
            <v>Benu Ram Verma</v>
          </cell>
          <cell r="C129" t="str">
            <v>SSI124</v>
          </cell>
        </row>
        <row r="130">
          <cell r="B130" t="str">
            <v>Ganesh Kumar Dhidahi</v>
          </cell>
          <cell r="C130" t="str">
            <v>SSI125</v>
          </cell>
        </row>
        <row r="131">
          <cell r="B131" t="str">
            <v>Hemlal Joshi</v>
          </cell>
          <cell r="C131" t="str">
            <v>SSI126</v>
          </cell>
        </row>
        <row r="132">
          <cell r="B132" t="str">
            <v>Nitin Sahu</v>
          </cell>
          <cell r="C132" t="str">
            <v>SSI127</v>
          </cell>
        </row>
        <row r="133">
          <cell r="B133" t="str">
            <v>Swamy Rao</v>
          </cell>
          <cell r="C133" t="str">
            <v>SSI128</v>
          </cell>
        </row>
        <row r="134">
          <cell r="B134" t="str">
            <v>Khoman Lal Sahu</v>
          </cell>
          <cell r="C134" t="str">
            <v>SSI129</v>
          </cell>
        </row>
        <row r="135">
          <cell r="B135" t="str">
            <v>Chandra Prakas Ratre</v>
          </cell>
          <cell r="C135" t="str">
            <v>SSI130</v>
          </cell>
        </row>
        <row r="136">
          <cell r="B136" t="str">
            <v>Bhupendra Kumar Nishad</v>
          </cell>
          <cell r="C136" t="str">
            <v>SSI131</v>
          </cell>
        </row>
        <row r="137">
          <cell r="B137" t="str">
            <v>Praveen Kumar Sahu</v>
          </cell>
          <cell r="C137" t="str">
            <v>SSI132</v>
          </cell>
        </row>
        <row r="138">
          <cell r="B138" t="str">
            <v>Anil Prakash Sahu</v>
          </cell>
          <cell r="C138" t="str">
            <v>SSI133</v>
          </cell>
        </row>
        <row r="139">
          <cell r="B139" t="str">
            <v>Umesh Kumar Sahu</v>
          </cell>
          <cell r="C139" t="str">
            <v>SSI134</v>
          </cell>
        </row>
        <row r="140">
          <cell r="B140" t="str">
            <v>Dinesh Dewangan</v>
          </cell>
          <cell r="C140" t="str">
            <v>SSI135</v>
          </cell>
        </row>
        <row r="141">
          <cell r="B141" t="str">
            <v>Rakesh Kumar Nishad</v>
          </cell>
          <cell r="C141" t="str">
            <v>SSI136</v>
          </cell>
        </row>
        <row r="142">
          <cell r="B142" t="str">
            <v>Sameer Dhruv</v>
          </cell>
          <cell r="C142" t="str">
            <v>SSI137</v>
          </cell>
        </row>
        <row r="143">
          <cell r="B143" t="str">
            <v>Ajay Kumar</v>
          </cell>
          <cell r="C143" t="str">
            <v>SSI138</v>
          </cell>
        </row>
        <row r="144">
          <cell r="B144" t="str">
            <v>Yogendra Sahu</v>
          </cell>
          <cell r="C144" t="str">
            <v>SSI139</v>
          </cell>
        </row>
        <row r="145">
          <cell r="B145" t="str">
            <v>Himmat Kannouje</v>
          </cell>
          <cell r="C145" t="str">
            <v>SSI140</v>
          </cell>
        </row>
        <row r="146">
          <cell r="B146" t="str">
            <v>Kundan Jaiswal</v>
          </cell>
          <cell r="C146" t="str">
            <v>SSI142</v>
          </cell>
        </row>
        <row r="147">
          <cell r="B147" t="str">
            <v>Harisambhu Jangde</v>
          </cell>
          <cell r="C147" t="str">
            <v>SSI143</v>
          </cell>
        </row>
        <row r="148">
          <cell r="B148" t="str">
            <v>Bhushan Kumar Sahu</v>
          </cell>
          <cell r="C148" t="str">
            <v>SSI144</v>
          </cell>
        </row>
        <row r="149">
          <cell r="B149" t="str">
            <v>Nitesh Kumar</v>
          </cell>
          <cell r="C149" t="str">
            <v>SSI145</v>
          </cell>
        </row>
        <row r="150">
          <cell r="B150" t="str">
            <v>Atul Mishra</v>
          </cell>
          <cell r="C150" t="str">
            <v>SSI146</v>
          </cell>
        </row>
        <row r="151">
          <cell r="B151" t="str">
            <v>Face Attendance</v>
          </cell>
          <cell r="C151" t="str">
            <v>SSI147</v>
          </cell>
        </row>
        <row r="152">
          <cell r="B152" t="str">
            <v>Vinay Soni</v>
          </cell>
          <cell r="C152" t="str">
            <v>SSI148</v>
          </cell>
        </row>
        <row r="153">
          <cell r="B153" t="str">
            <v>ChiranJivi Nishad</v>
          </cell>
          <cell r="C153" t="str">
            <v>SSI149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CC66"/>
    <pageSetUpPr fitToPage="1"/>
  </sheetPr>
  <dimension ref="A1:BD206"/>
  <sheetViews>
    <sheetView showGridLines="0" tabSelected="1" zoomScale="110" zoomScaleNormal="110" zoomScaleSheetLayoutView="90" workbookViewId="0">
      <pane xSplit="2" ySplit="11" topLeftCell="D33" activePane="bottomRight" state="frozen"/>
      <selection pane="topRight" activeCell="C1" sqref="C1"/>
      <selection pane="bottomLeft" activeCell="A8" sqref="A8"/>
      <selection pane="bottomRight" activeCell="A50" sqref="A50:XFD50"/>
    </sheetView>
  </sheetViews>
  <sheetFormatPr defaultColWidth="9.140625" defaultRowHeight="14.25" x14ac:dyDescent="0.2"/>
  <cols>
    <col min="1" max="1" width="6.85546875" style="3" customWidth="1"/>
    <col min="2" max="4" width="35.5703125" style="3" customWidth="1"/>
    <col min="5" max="5" width="4.28515625" style="3" customWidth="1"/>
    <col min="6" max="6" width="4.28515625" style="7" customWidth="1"/>
    <col min="7" max="7" width="4.85546875" style="3" customWidth="1"/>
    <col min="8" max="9" width="5.140625" style="3" customWidth="1"/>
    <col min="10" max="11" width="4.85546875" style="3" customWidth="1"/>
    <col min="12" max="12" width="4.28515625" style="3" customWidth="1"/>
    <col min="13" max="18" width="4.85546875" style="3" customWidth="1"/>
    <col min="19" max="19" width="4.5703125" style="3" customWidth="1"/>
    <col min="20" max="20" width="4.85546875" style="3" customWidth="1"/>
    <col min="21" max="21" width="4.28515625" style="3" customWidth="1"/>
    <col min="22" max="25" width="4.85546875" style="3" customWidth="1"/>
    <col min="26" max="26" width="5.140625" style="3" customWidth="1"/>
    <col min="27" max="27" width="4.7109375" style="3" customWidth="1"/>
    <col min="28" max="28" width="5.42578125" style="3" customWidth="1"/>
    <col min="29" max="29" width="4.28515625" style="3" customWidth="1"/>
    <col min="30" max="30" width="5.5703125" style="3" customWidth="1"/>
    <col min="31" max="31" width="5.42578125" style="3" customWidth="1"/>
    <col min="32" max="32" width="5" style="3" customWidth="1"/>
    <col min="33" max="33" width="5.140625" style="3" customWidth="1"/>
    <col min="34" max="34" width="4.28515625" style="3" customWidth="1"/>
    <col min="35" max="35" width="8.85546875" style="3" customWidth="1"/>
    <col min="36" max="36" width="12.5703125" style="3" customWidth="1"/>
    <col min="37" max="41" width="9.140625" style="3" customWidth="1"/>
    <col min="42" max="16384" width="9.140625" style="3"/>
  </cols>
  <sheetData>
    <row r="1" spans="1:36" ht="19.5" customHeight="1" x14ac:dyDescent="0.3">
      <c r="A1" s="1" t="s">
        <v>0</v>
      </c>
      <c r="B1" s="2"/>
      <c r="C1" s="2"/>
      <c r="D1" s="2"/>
      <c r="F1" s="3"/>
    </row>
    <row r="2" spans="1:36" hidden="1" x14ac:dyDescent="0.2">
      <c r="A2" s="4" t="s">
        <v>1</v>
      </c>
      <c r="F2" s="3"/>
    </row>
    <row r="3" spans="1:36" hidden="1" x14ac:dyDescent="0.2">
      <c r="A3" s="4" t="s">
        <v>2</v>
      </c>
      <c r="B3" s="4"/>
      <c r="C3" s="4"/>
      <c r="D3" s="4"/>
      <c r="F3" s="3"/>
      <c r="G3" s="5"/>
    </row>
    <row r="4" spans="1:36" hidden="1" x14ac:dyDescent="0.2">
      <c r="A4" s="4" t="s">
        <v>3</v>
      </c>
      <c r="F4" s="3"/>
      <c r="G4" s="6"/>
      <c r="AJ4" s="3" t="s">
        <v>4</v>
      </c>
    </row>
    <row r="5" spans="1:36" hidden="1" x14ac:dyDescent="0.2"/>
    <row r="6" spans="1:36" x14ac:dyDescent="0.2">
      <c r="A6" s="4" t="s">
        <v>1</v>
      </c>
    </row>
    <row r="7" spans="1:36" x14ac:dyDescent="0.2">
      <c r="A7" s="4" t="s">
        <v>2</v>
      </c>
    </row>
    <row r="8" spans="1:36" x14ac:dyDescent="0.2">
      <c r="A8" s="4" t="s">
        <v>5</v>
      </c>
    </row>
    <row r="9" spans="1:36" ht="17.25" customHeight="1" x14ac:dyDescent="0.2"/>
    <row r="10" spans="1:36" ht="14.25" customHeight="1" x14ac:dyDescent="0.2">
      <c r="A10" s="8" t="s">
        <v>6</v>
      </c>
      <c r="B10" s="9" t="s">
        <v>7</v>
      </c>
      <c r="C10" s="9"/>
      <c r="D10" s="9"/>
      <c r="E10" s="10" t="s">
        <v>8</v>
      </c>
      <c r="F10" s="11" t="s">
        <v>9</v>
      </c>
      <c r="G10" s="10" t="s">
        <v>10</v>
      </c>
      <c r="H10" s="10" t="s">
        <v>11</v>
      </c>
      <c r="I10" s="10" t="s">
        <v>12</v>
      </c>
      <c r="J10" s="10" t="s">
        <v>13</v>
      </c>
      <c r="K10" s="12" t="s">
        <v>14</v>
      </c>
      <c r="L10" s="10" t="s">
        <v>8</v>
      </c>
      <c r="M10" s="11" t="s">
        <v>9</v>
      </c>
      <c r="N10" s="10" t="s">
        <v>10</v>
      </c>
      <c r="O10" s="10" t="s">
        <v>11</v>
      </c>
      <c r="P10" s="10" t="s">
        <v>12</v>
      </c>
      <c r="Q10" s="10" t="s">
        <v>13</v>
      </c>
      <c r="R10" s="12" t="s">
        <v>14</v>
      </c>
      <c r="S10" s="10" t="s">
        <v>8</v>
      </c>
      <c r="T10" s="11" t="s">
        <v>9</v>
      </c>
      <c r="U10" s="10" t="s">
        <v>10</v>
      </c>
      <c r="V10" s="10" t="s">
        <v>11</v>
      </c>
      <c r="W10" s="10" t="s">
        <v>12</v>
      </c>
      <c r="X10" s="10" t="s">
        <v>13</v>
      </c>
      <c r="Y10" s="12" t="s">
        <v>14</v>
      </c>
      <c r="Z10" s="10" t="s">
        <v>8</v>
      </c>
      <c r="AA10" s="11" t="s">
        <v>9</v>
      </c>
      <c r="AB10" s="10" t="s">
        <v>10</v>
      </c>
      <c r="AC10" s="10" t="s">
        <v>11</v>
      </c>
      <c r="AD10" s="10" t="s">
        <v>12</v>
      </c>
      <c r="AE10" s="10" t="s">
        <v>13</v>
      </c>
      <c r="AF10" s="12" t="s">
        <v>14</v>
      </c>
      <c r="AG10" s="10" t="s">
        <v>8</v>
      </c>
      <c r="AH10" s="11" t="s">
        <v>9</v>
      </c>
      <c r="AI10" s="137" t="s">
        <v>15</v>
      </c>
      <c r="AJ10" s="13"/>
    </row>
    <row r="11" spans="1:36" ht="14.25" customHeight="1" x14ac:dyDescent="0.25">
      <c r="A11" s="8"/>
      <c r="B11" s="14" t="s">
        <v>16</v>
      </c>
      <c r="C11" s="14"/>
      <c r="D11" s="14"/>
      <c r="E11" s="15">
        <v>1</v>
      </c>
      <c r="F11" s="15">
        <v>2</v>
      </c>
      <c r="G11" s="15">
        <v>3</v>
      </c>
      <c r="H11" s="15">
        <v>4</v>
      </c>
      <c r="I11" s="15">
        <v>5</v>
      </c>
      <c r="J11" s="15">
        <v>6</v>
      </c>
      <c r="K11" s="15">
        <v>7</v>
      </c>
      <c r="L11" s="15">
        <v>8</v>
      </c>
      <c r="M11" s="15">
        <v>9</v>
      </c>
      <c r="N11" s="15">
        <v>10</v>
      </c>
      <c r="O11" s="15">
        <v>11</v>
      </c>
      <c r="P11" s="15">
        <v>12</v>
      </c>
      <c r="Q11" s="15">
        <v>13</v>
      </c>
      <c r="R11" s="15">
        <v>14</v>
      </c>
      <c r="S11" s="15">
        <v>15</v>
      </c>
      <c r="T11" s="15">
        <v>16</v>
      </c>
      <c r="U11" s="15">
        <v>17</v>
      </c>
      <c r="V11" s="15">
        <v>18</v>
      </c>
      <c r="W11" s="15">
        <v>19</v>
      </c>
      <c r="X11" s="15">
        <v>20</v>
      </c>
      <c r="Y11" s="15">
        <v>21</v>
      </c>
      <c r="Z11" s="15">
        <v>22</v>
      </c>
      <c r="AA11" s="15">
        <v>23</v>
      </c>
      <c r="AB11" s="15">
        <v>24</v>
      </c>
      <c r="AC11" s="15">
        <v>25</v>
      </c>
      <c r="AD11" s="15">
        <v>26</v>
      </c>
      <c r="AE11" s="15">
        <v>27</v>
      </c>
      <c r="AF11" s="15">
        <v>28</v>
      </c>
      <c r="AG11" s="15">
        <v>29</v>
      </c>
      <c r="AH11" s="15">
        <v>30</v>
      </c>
      <c r="AI11" s="137"/>
      <c r="AJ11" s="13"/>
    </row>
    <row r="12" spans="1:36" s="141" customFormat="1" ht="13.5" customHeight="1" x14ac:dyDescent="0.2">
      <c r="A12" s="138">
        <v>1</v>
      </c>
      <c r="B12" s="139" t="s">
        <v>76</v>
      </c>
      <c r="C12" s="139" t="str">
        <f>VLOOKUP(B12,[1]Worksheet!$B$6:$C$153,2,0)</f>
        <v>SSI002</v>
      </c>
      <c r="D12" s="139"/>
      <c r="E12" s="138">
        <v>1</v>
      </c>
      <c r="F12" s="138">
        <v>1</v>
      </c>
      <c r="G12" s="138">
        <v>1</v>
      </c>
      <c r="H12" s="138">
        <v>1</v>
      </c>
      <c r="I12" s="138">
        <v>1</v>
      </c>
      <c r="J12" s="138">
        <v>1</v>
      </c>
      <c r="K12" s="138">
        <v>1</v>
      </c>
      <c r="L12" s="138">
        <v>1</v>
      </c>
      <c r="M12" s="138">
        <v>1</v>
      </c>
      <c r="N12" s="138">
        <v>1</v>
      </c>
      <c r="O12" s="138">
        <v>1</v>
      </c>
      <c r="P12" s="138">
        <v>1</v>
      </c>
      <c r="Q12" s="138">
        <v>1</v>
      </c>
      <c r="R12" s="138">
        <v>1</v>
      </c>
      <c r="S12" s="138">
        <v>1</v>
      </c>
      <c r="T12" s="138">
        <v>1</v>
      </c>
      <c r="U12" s="138">
        <v>1</v>
      </c>
      <c r="V12" s="138">
        <v>1</v>
      </c>
      <c r="W12" s="138">
        <v>1</v>
      </c>
      <c r="X12" s="138">
        <v>1</v>
      </c>
      <c r="Y12" s="138">
        <v>1</v>
      </c>
      <c r="Z12" s="138">
        <v>1</v>
      </c>
      <c r="AA12" s="138">
        <v>1</v>
      </c>
      <c r="AB12" s="138">
        <v>1</v>
      </c>
      <c r="AC12" s="138">
        <v>1</v>
      </c>
      <c r="AD12" s="138">
        <v>1</v>
      </c>
      <c r="AE12" s="138">
        <v>1</v>
      </c>
      <c r="AF12" s="138">
        <v>1</v>
      </c>
      <c r="AG12" s="138">
        <v>1</v>
      </c>
      <c r="AH12" s="138">
        <v>1</v>
      </c>
      <c r="AI12" s="140">
        <f>SUM(E12:AH12)</f>
        <v>30</v>
      </c>
    </row>
    <row r="13" spans="1:36" s="141" customFormat="1" x14ac:dyDescent="0.2">
      <c r="A13" s="138">
        <v>2</v>
      </c>
      <c r="B13" s="139" t="s">
        <v>77</v>
      </c>
      <c r="C13" s="139" t="str">
        <f>VLOOKUP(B13,[1]Worksheet!$B$6:$C$153,2,0)</f>
        <v>SSI003</v>
      </c>
      <c r="D13" s="139"/>
      <c r="E13" s="138">
        <v>1</v>
      </c>
      <c r="F13" s="138">
        <v>1</v>
      </c>
      <c r="G13" s="138">
        <v>1</v>
      </c>
      <c r="H13" s="138">
        <v>1</v>
      </c>
      <c r="I13" s="138">
        <v>1</v>
      </c>
      <c r="J13" s="138">
        <v>1</v>
      </c>
      <c r="K13" s="138">
        <v>1</v>
      </c>
      <c r="L13" s="138">
        <v>1</v>
      </c>
      <c r="M13" s="138">
        <v>1</v>
      </c>
      <c r="N13" s="138">
        <v>1</v>
      </c>
      <c r="O13" s="138"/>
      <c r="P13" s="138"/>
      <c r="Q13" s="138"/>
      <c r="R13" s="138"/>
      <c r="S13" s="138"/>
      <c r="T13" s="138">
        <v>1</v>
      </c>
      <c r="U13" s="138">
        <v>1</v>
      </c>
      <c r="V13" s="138">
        <v>1</v>
      </c>
      <c r="W13" s="138">
        <v>1</v>
      </c>
      <c r="X13" s="138">
        <v>1</v>
      </c>
      <c r="Y13" s="138">
        <v>1</v>
      </c>
      <c r="Z13" s="138">
        <v>1</v>
      </c>
      <c r="AA13" s="138">
        <v>1</v>
      </c>
      <c r="AB13" s="138"/>
      <c r="AC13" s="138"/>
      <c r="AD13" s="138"/>
      <c r="AE13" s="138"/>
      <c r="AF13" s="138"/>
      <c r="AG13" s="138"/>
      <c r="AH13" s="138">
        <v>1</v>
      </c>
      <c r="AI13" s="140">
        <f t="shared" ref="AI13:AI29" si="0">SUM(E13:AH13)</f>
        <v>19</v>
      </c>
    </row>
    <row r="14" spans="1:36" s="141" customFormat="1" x14ac:dyDescent="0.2">
      <c r="A14" s="138">
        <v>3</v>
      </c>
      <c r="B14" s="139" t="s">
        <v>198</v>
      </c>
      <c r="C14" s="139" t="str">
        <f>VLOOKUP(B14,[1]Worksheet!$B$6:$C$153,2,0)</f>
        <v>SSI004</v>
      </c>
      <c r="D14" s="139"/>
      <c r="E14" s="138">
        <v>1</v>
      </c>
      <c r="F14" s="138">
        <v>1</v>
      </c>
      <c r="G14" s="138">
        <v>1</v>
      </c>
      <c r="H14" s="138">
        <v>1</v>
      </c>
      <c r="I14" s="138">
        <v>1</v>
      </c>
      <c r="J14" s="138">
        <v>1</v>
      </c>
      <c r="K14" s="138">
        <v>1</v>
      </c>
      <c r="L14" s="138">
        <v>1</v>
      </c>
      <c r="M14" s="138">
        <v>1</v>
      </c>
      <c r="N14" s="138">
        <v>1</v>
      </c>
      <c r="O14" s="138">
        <v>1</v>
      </c>
      <c r="P14" s="138">
        <v>1</v>
      </c>
      <c r="Q14" s="138">
        <v>1</v>
      </c>
      <c r="R14" s="138">
        <v>1</v>
      </c>
      <c r="S14" s="138">
        <v>1</v>
      </c>
      <c r="T14" s="138">
        <v>1</v>
      </c>
      <c r="U14" s="138">
        <v>1</v>
      </c>
      <c r="V14" s="138">
        <v>1</v>
      </c>
      <c r="W14" s="138">
        <v>1</v>
      </c>
      <c r="X14" s="138">
        <v>1</v>
      </c>
      <c r="Y14" s="138">
        <v>1</v>
      </c>
      <c r="Z14" s="138">
        <v>1</v>
      </c>
      <c r="AA14" s="138">
        <v>1</v>
      </c>
      <c r="AB14" s="138">
        <v>1</v>
      </c>
      <c r="AC14" s="138">
        <v>1</v>
      </c>
      <c r="AD14" s="138">
        <v>1</v>
      </c>
      <c r="AE14" s="138">
        <v>1</v>
      </c>
      <c r="AF14" s="138">
        <v>1</v>
      </c>
      <c r="AG14" s="138">
        <v>1</v>
      </c>
      <c r="AH14" s="138">
        <v>1</v>
      </c>
      <c r="AI14" s="140">
        <f t="shared" si="0"/>
        <v>30</v>
      </c>
      <c r="AJ14" s="142"/>
    </row>
    <row r="15" spans="1:36" s="141" customFormat="1" x14ac:dyDescent="0.2">
      <c r="A15" s="138">
        <v>4</v>
      </c>
      <c r="B15" s="139" t="s">
        <v>78</v>
      </c>
      <c r="C15" s="139" t="str">
        <f>VLOOKUP(B15,[1]Worksheet!$B$6:$C$153,2,0)</f>
        <v>SSI005</v>
      </c>
      <c r="D15" s="139"/>
      <c r="E15" s="138">
        <v>1</v>
      </c>
      <c r="F15" s="138"/>
      <c r="G15" s="138">
        <v>1</v>
      </c>
      <c r="H15" s="138">
        <v>1</v>
      </c>
      <c r="I15" s="138"/>
      <c r="J15" s="138"/>
      <c r="K15" s="138"/>
      <c r="L15" s="138">
        <v>1</v>
      </c>
      <c r="M15" s="138"/>
      <c r="N15" s="138">
        <v>1</v>
      </c>
      <c r="O15" s="138">
        <v>1</v>
      </c>
      <c r="P15" s="138">
        <v>1</v>
      </c>
      <c r="Q15" s="138">
        <v>1</v>
      </c>
      <c r="R15" s="138">
        <v>1</v>
      </c>
      <c r="S15" s="138">
        <v>1</v>
      </c>
      <c r="T15" s="138"/>
      <c r="U15" s="138">
        <v>1</v>
      </c>
      <c r="V15" s="138">
        <v>1</v>
      </c>
      <c r="W15" s="138">
        <v>1</v>
      </c>
      <c r="X15" s="138">
        <v>1</v>
      </c>
      <c r="Y15" s="138">
        <v>1</v>
      </c>
      <c r="Z15" s="138">
        <v>1</v>
      </c>
      <c r="AA15" s="138"/>
      <c r="AB15" s="138">
        <v>1</v>
      </c>
      <c r="AC15" s="138">
        <v>1</v>
      </c>
      <c r="AD15" s="138">
        <v>1</v>
      </c>
      <c r="AE15" s="138">
        <v>1</v>
      </c>
      <c r="AF15" s="138">
        <v>1</v>
      </c>
      <c r="AG15" s="138">
        <v>1</v>
      </c>
      <c r="AH15" s="138"/>
      <c r="AI15" s="140">
        <f t="shared" si="0"/>
        <v>22</v>
      </c>
      <c r="AJ15" s="142"/>
    </row>
    <row r="16" spans="1:36" s="141" customFormat="1" x14ac:dyDescent="0.2">
      <c r="A16" s="138">
        <v>5</v>
      </c>
      <c r="B16" s="139" t="s">
        <v>79</v>
      </c>
      <c r="C16" s="139" t="str">
        <f>VLOOKUP(B16,[1]Worksheet!$B$6:$C$153,2,0)</f>
        <v>SSI006</v>
      </c>
      <c r="D16" s="139"/>
      <c r="E16" s="138">
        <v>1</v>
      </c>
      <c r="F16" s="138">
        <v>1</v>
      </c>
      <c r="G16" s="138">
        <v>1</v>
      </c>
      <c r="H16" s="138">
        <v>1</v>
      </c>
      <c r="I16" s="138">
        <v>1</v>
      </c>
      <c r="J16" s="138">
        <v>1</v>
      </c>
      <c r="K16" s="138">
        <v>1</v>
      </c>
      <c r="L16" s="138">
        <v>1</v>
      </c>
      <c r="M16" s="138">
        <v>1</v>
      </c>
      <c r="N16" s="138">
        <v>1</v>
      </c>
      <c r="O16" s="138">
        <v>1</v>
      </c>
      <c r="P16" s="138">
        <v>1</v>
      </c>
      <c r="Q16" s="138">
        <v>1</v>
      </c>
      <c r="R16" s="138">
        <v>1</v>
      </c>
      <c r="S16" s="138">
        <v>1</v>
      </c>
      <c r="T16" s="138">
        <v>1</v>
      </c>
      <c r="U16" s="138">
        <v>1</v>
      </c>
      <c r="V16" s="138">
        <v>1</v>
      </c>
      <c r="W16" s="138">
        <v>1</v>
      </c>
      <c r="X16" s="138">
        <v>1</v>
      </c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40">
        <f t="shared" si="0"/>
        <v>20</v>
      </c>
      <c r="AJ16" s="142"/>
    </row>
    <row r="17" spans="1:36" s="141" customFormat="1" x14ac:dyDescent="0.2">
      <c r="A17" s="138">
        <v>6</v>
      </c>
      <c r="B17" s="139" t="s">
        <v>80</v>
      </c>
      <c r="C17" s="139" t="str">
        <f>VLOOKUP(B17,[1]Worksheet!$B$6:$C$153,2,0)</f>
        <v>SSI007</v>
      </c>
      <c r="D17" s="139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>
        <v>1</v>
      </c>
      <c r="S17" s="138">
        <v>1</v>
      </c>
      <c r="T17" s="138">
        <v>1</v>
      </c>
      <c r="U17" s="138">
        <v>1</v>
      </c>
      <c r="V17" s="138">
        <v>1</v>
      </c>
      <c r="W17" s="138">
        <v>1</v>
      </c>
      <c r="X17" s="138">
        <v>1</v>
      </c>
      <c r="Y17" s="138">
        <v>1</v>
      </c>
      <c r="Z17" s="138">
        <v>1</v>
      </c>
      <c r="AA17" s="138">
        <v>1</v>
      </c>
      <c r="AB17" s="138">
        <v>1</v>
      </c>
      <c r="AC17" s="138">
        <v>1</v>
      </c>
      <c r="AD17" s="138">
        <v>1</v>
      </c>
      <c r="AE17" s="138">
        <v>1</v>
      </c>
      <c r="AF17" s="138">
        <v>1</v>
      </c>
      <c r="AG17" s="138">
        <v>1</v>
      </c>
      <c r="AH17" s="138">
        <v>1</v>
      </c>
      <c r="AI17" s="140">
        <f t="shared" si="0"/>
        <v>17</v>
      </c>
      <c r="AJ17" s="142"/>
    </row>
    <row r="18" spans="1:36" s="141" customFormat="1" x14ac:dyDescent="0.2">
      <c r="A18" s="138">
        <v>7</v>
      </c>
      <c r="B18" s="139" t="s">
        <v>195</v>
      </c>
      <c r="C18" s="139" t="str">
        <f>VLOOKUP(B18,[1]Worksheet!$B$6:$C$153,2,0)</f>
        <v>SSI008</v>
      </c>
      <c r="D18" s="139"/>
      <c r="E18" s="138">
        <v>1</v>
      </c>
      <c r="F18" s="138"/>
      <c r="G18" s="138">
        <v>1</v>
      </c>
      <c r="H18" s="138">
        <v>1</v>
      </c>
      <c r="I18" s="138">
        <v>1</v>
      </c>
      <c r="J18" s="138">
        <v>1</v>
      </c>
      <c r="K18" s="138">
        <v>1</v>
      </c>
      <c r="L18" s="138">
        <v>1</v>
      </c>
      <c r="M18" s="138"/>
      <c r="N18" s="138">
        <v>1</v>
      </c>
      <c r="O18" s="138">
        <v>1</v>
      </c>
      <c r="P18" s="138">
        <v>1</v>
      </c>
      <c r="Q18" s="138">
        <v>1</v>
      </c>
      <c r="R18" s="138">
        <v>1</v>
      </c>
      <c r="S18" s="138">
        <v>1</v>
      </c>
      <c r="T18" s="138"/>
      <c r="U18" s="138">
        <v>1</v>
      </c>
      <c r="V18" s="138">
        <v>1</v>
      </c>
      <c r="W18" s="138">
        <v>1</v>
      </c>
      <c r="X18" s="138">
        <v>1</v>
      </c>
      <c r="Y18" s="138">
        <v>1</v>
      </c>
      <c r="Z18" s="138">
        <v>1</v>
      </c>
      <c r="AA18" s="138"/>
      <c r="AB18" s="138">
        <v>1</v>
      </c>
      <c r="AC18" s="138">
        <v>1</v>
      </c>
      <c r="AD18" s="138">
        <v>1</v>
      </c>
      <c r="AE18" s="138">
        <v>1</v>
      </c>
      <c r="AF18" s="138">
        <v>1</v>
      </c>
      <c r="AG18" s="138">
        <v>1</v>
      </c>
      <c r="AH18" s="138"/>
      <c r="AI18" s="140">
        <f>SUM(E18:AH18)</f>
        <v>25</v>
      </c>
      <c r="AJ18" s="142"/>
    </row>
    <row r="19" spans="1:36" s="141" customFormat="1" x14ac:dyDescent="0.2">
      <c r="A19" s="138">
        <v>8</v>
      </c>
      <c r="B19" s="139" t="s">
        <v>169</v>
      </c>
      <c r="C19" s="139" t="e">
        <f>VLOOKUP(B19,[1]Worksheet!$B$6:$C$153,2,0)</f>
        <v>#N/A</v>
      </c>
      <c r="D19" s="139" t="s">
        <v>222</v>
      </c>
      <c r="E19" s="138">
        <v>1</v>
      </c>
      <c r="F19" s="138"/>
      <c r="G19" s="138">
        <v>1</v>
      </c>
      <c r="H19" s="138">
        <v>1</v>
      </c>
      <c r="I19" s="138">
        <v>1</v>
      </c>
      <c r="J19" s="138">
        <v>1</v>
      </c>
      <c r="K19" s="138">
        <v>1</v>
      </c>
      <c r="L19" s="138">
        <v>1</v>
      </c>
      <c r="M19" s="138"/>
      <c r="N19" s="138">
        <v>1</v>
      </c>
      <c r="O19" s="138">
        <v>1</v>
      </c>
      <c r="P19" s="138">
        <v>1</v>
      </c>
      <c r="Q19" s="138">
        <v>1</v>
      </c>
      <c r="R19" s="138">
        <v>1</v>
      </c>
      <c r="S19" s="138"/>
      <c r="T19" s="138"/>
      <c r="U19" s="138">
        <v>1</v>
      </c>
      <c r="V19" s="138"/>
      <c r="W19" s="138">
        <v>1</v>
      </c>
      <c r="X19" s="138">
        <v>1</v>
      </c>
      <c r="Y19" s="138"/>
      <c r="Z19" s="138">
        <v>1</v>
      </c>
      <c r="AA19" s="138"/>
      <c r="AB19" s="138">
        <v>1</v>
      </c>
      <c r="AC19" s="138">
        <v>1</v>
      </c>
      <c r="AD19" s="138">
        <v>1</v>
      </c>
      <c r="AE19" s="138">
        <v>1</v>
      </c>
      <c r="AF19" s="138">
        <v>1</v>
      </c>
      <c r="AG19" s="138">
        <v>1</v>
      </c>
      <c r="AH19" s="138"/>
      <c r="AI19" s="140">
        <f t="shared" si="0"/>
        <v>22</v>
      </c>
      <c r="AJ19" s="142"/>
    </row>
    <row r="20" spans="1:36" s="141" customFormat="1" x14ac:dyDescent="0.2">
      <c r="A20" s="138">
        <v>9</v>
      </c>
      <c r="B20" s="139" t="s">
        <v>81</v>
      </c>
      <c r="C20" s="139" t="str">
        <f>VLOOKUP(B20,[1]Worksheet!$B$6:$C$153,2,0)</f>
        <v>SSI009</v>
      </c>
      <c r="D20" s="139"/>
      <c r="E20" s="138">
        <v>1</v>
      </c>
      <c r="F20" s="138">
        <v>1</v>
      </c>
      <c r="G20" s="138"/>
      <c r="H20" s="138">
        <v>1</v>
      </c>
      <c r="I20" s="138">
        <v>1</v>
      </c>
      <c r="J20" s="138">
        <v>1</v>
      </c>
      <c r="K20" s="138">
        <v>1</v>
      </c>
      <c r="L20" s="138">
        <v>1</v>
      </c>
      <c r="M20" s="138">
        <v>1</v>
      </c>
      <c r="N20" s="138"/>
      <c r="O20" s="138">
        <v>1</v>
      </c>
      <c r="P20" s="138">
        <v>1</v>
      </c>
      <c r="Q20" s="138">
        <v>1</v>
      </c>
      <c r="R20" s="138">
        <v>1</v>
      </c>
      <c r="S20" s="138">
        <v>1</v>
      </c>
      <c r="T20" s="138">
        <v>1</v>
      </c>
      <c r="U20" s="138"/>
      <c r="V20" s="138">
        <v>1</v>
      </c>
      <c r="W20" s="138">
        <v>1</v>
      </c>
      <c r="X20" s="138">
        <v>1</v>
      </c>
      <c r="Y20" s="138">
        <v>1</v>
      </c>
      <c r="Z20" s="138">
        <v>1</v>
      </c>
      <c r="AA20" s="138">
        <v>1</v>
      </c>
      <c r="AB20" s="138"/>
      <c r="AC20" s="138">
        <v>1</v>
      </c>
      <c r="AD20" s="138">
        <v>1</v>
      </c>
      <c r="AE20" s="138">
        <v>1</v>
      </c>
      <c r="AF20" s="138">
        <v>1</v>
      </c>
      <c r="AG20" s="138">
        <v>1</v>
      </c>
      <c r="AH20" s="138">
        <v>1</v>
      </c>
      <c r="AI20" s="140">
        <f t="shared" si="0"/>
        <v>26</v>
      </c>
      <c r="AJ20" s="142"/>
    </row>
    <row r="21" spans="1:36" s="141" customFormat="1" x14ac:dyDescent="0.2">
      <c r="A21" s="138">
        <v>10</v>
      </c>
      <c r="B21" s="139" t="s">
        <v>82</v>
      </c>
      <c r="C21" s="139" t="str">
        <f>VLOOKUP(B21,[1]Worksheet!$B$6:$C$153,2,0)</f>
        <v>SSI010</v>
      </c>
      <c r="D21" s="139"/>
      <c r="E21" s="138">
        <v>1</v>
      </c>
      <c r="F21" s="138"/>
      <c r="G21" s="138">
        <v>1</v>
      </c>
      <c r="H21" s="138">
        <v>1</v>
      </c>
      <c r="I21" s="138">
        <v>1</v>
      </c>
      <c r="J21" s="138">
        <v>1</v>
      </c>
      <c r="K21" s="138">
        <v>1</v>
      </c>
      <c r="L21" s="138">
        <v>1</v>
      </c>
      <c r="M21" s="138"/>
      <c r="N21" s="138">
        <v>1</v>
      </c>
      <c r="O21" s="138">
        <v>1</v>
      </c>
      <c r="P21" s="138">
        <v>1</v>
      </c>
      <c r="Q21" s="138">
        <v>1</v>
      </c>
      <c r="R21" s="138">
        <v>1</v>
      </c>
      <c r="S21" s="138">
        <v>1</v>
      </c>
      <c r="T21" s="138"/>
      <c r="U21" s="138">
        <v>1</v>
      </c>
      <c r="V21" s="138">
        <v>1</v>
      </c>
      <c r="W21" s="138">
        <v>1</v>
      </c>
      <c r="X21" s="138">
        <v>1</v>
      </c>
      <c r="Y21" s="138"/>
      <c r="Z21" s="138"/>
      <c r="AA21" s="138"/>
      <c r="AB21" s="138">
        <v>1</v>
      </c>
      <c r="AC21" s="138">
        <v>1</v>
      </c>
      <c r="AD21" s="138">
        <v>1</v>
      </c>
      <c r="AE21" s="138">
        <v>1</v>
      </c>
      <c r="AF21" s="138">
        <v>1</v>
      </c>
      <c r="AG21" s="138">
        <v>1</v>
      </c>
      <c r="AH21" s="138"/>
      <c r="AI21" s="140">
        <f t="shared" si="0"/>
        <v>23</v>
      </c>
      <c r="AJ21" s="142"/>
    </row>
    <row r="22" spans="1:36" s="141" customFormat="1" x14ac:dyDescent="0.2">
      <c r="A22" s="138">
        <v>11</v>
      </c>
      <c r="B22" s="143" t="s">
        <v>199</v>
      </c>
      <c r="C22" s="139" t="str">
        <f>VLOOKUP(B22,[1]Worksheet!$B$6:$C$153,2,0)</f>
        <v>SSI011</v>
      </c>
      <c r="D22" s="143"/>
      <c r="E22" s="138">
        <v>1</v>
      </c>
      <c r="F22" s="138">
        <v>1</v>
      </c>
      <c r="G22" s="138">
        <v>1</v>
      </c>
      <c r="H22" s="138">
        <v>1</v>
      </c>
      <c r="I22" s="138">
        <v>1</v>
      </c>
      <c r="J22" s="138">
        <v>1</v>
      </c>
      <c r="K22" s="138">
        <v>1</v>
      </c>
      <c r="L22" s="138">
        <v>1</v>
      </c>
      <c r="M22" s="138">
        <v>1</v>
      </c>
      <c r="N22" s="138">
        <v>1</v>
      </c>
      <c r="O22" s="138">
        <v>1</v>
      </c>
      <c r="P22" s="138">
        <v>1</v>
      </c>
      <c r="Q22" s="138">
        <v>1</v>
      </c>
      <c r="R22" s="138">
        <v>1</v>
      </c>
      <c r="S22" s="138">
        <v>1</v>
      </c>
      <c r="T22" s="138">
        <v>1</v>
      </c>
      <c r="U22" s="138">
        <v>1</v>
      </c>
      <c r="V22" s="138">
        <v>1</v>
      </c>
      <c r="W22" s="138">
        <v>1</v>
      </c>
      <c r="X22" s="138">
        <v>1</v>
      </c>
      <c r="Y22" s="138">
        <v>1</v>
      </c>
      <c r="Z22" s="138">
        <v>1</v>
      </c>
      <c r="AA22" s="138">
        <v>1</v>
      </c>
      <c r="AB22" s="138">
        <v>1</v>
      </c>
      <c r="AC22" s="138">
        <v>1</v>
      </c>
      <c r="AD22" s="138">
        <v>1</v>
      </c>
      <c r="AE22" s="138">
        <v>1</v>
      </c>
      <c r="AF22" s="138">
        <v>1</v>
      </c>
      <c r="AG22" s="138">
        <v>1</v>
      </c>
      <c r="AH22" s="138">
        <v>1</v>
      </c>
      <c r="AI22" s="140">
        <f t="shared" si="0"/>
        <v>30</v>
      </c>
      <c r="AJ22" s="142"/>
    </row>
    <row r="23" spans="1:36" s="141" customFormat="1" x14ac:dyDescent="0.2">
      <c r="A23" s="138">
        <v>12</v>
      </c>
      <c r="B23" s="143" t="s">
        <v>200</v>
      </c>
      <c r="C23" s="139" t="str">
        <f>VLOOKUP(B23,[1]Worksheet!$B$6:$C$153,2,0)</f>
        <v>SSI012</v>
      </c>
      <c r="D23" s="143"/>
      <c r="E23" s="138">
        <v>1</v>
      </c>
      <c r="F23" s="138">
        <v>1</v>
      </c>
      <c r="G23" s="138">
        <v>1</v>
      </c>
      <c r="H23" s="138">
        <v>1</v>
      </c>
      <c r="I23" s="138">
        <v>1</v>
      </c>
      <c r="J23" s="138">
        <v>1</v>
      </c>
      <c r="K23" s="138">
        <v>1</v>
      </c>
      <c r="L23" s="138">
        <v>1</v>
      </c>
      <c r="M23" s="138">
        <v>1</v>
      </c>
      <c r="N23" s="138">
        <v>1</v>
      </c>
      <c r="O23" s="138">
        <v>1</v>
      </c>
      <c r="P23" s="138">
        <v>1</v>
      </c>
      <c r="Q23" s="138">
        <v>1</v>
      </c>
      <c r="R23" s="138">
        <v>1</v>
      </c>
      <c r="S23" s="138">
        <v>1</v>
      </c>
      <c r="T23" s="138">
        <v>1</v>
      </c>
      <c r="U23" s="138">
        <v>1</v>
      </c>
      <c r="V23" s="138">
        <v>1</v>
      </c>
      <c r="W23" s="138">
        <v>1</v>
      </c>
      <c r="X23" s="138">
        <v>1</v>
      </c>
      <c r="Y23" s="138">
        <v>1</v>
      </c>
      <c r="Z23" s="138">
        <v>1</v>
      </c>
      <c r="AA23" s="138">
        <v>1</v>
      </c>
      <c r="AB23" s="138">
        <v>1</v>
      </c>
      <c r="AC23" s="138">
        <v>1</v>
      </c>
      <c r="AD23" s="138">
        <v>1</v>
      </c>
      <c r="AE23" s="138">
        <v>1</v>
      </c>
      <c r="AF23" s="138">
        <v>1</v>
      </c>
      <c r="AG23" s="138">
        <v>1</v>
      </c>
      <c r="AH23" s="138">
        <v>1</v>
      </c>
      <c r="AI23" s="140">
        <f t="shared" si="0"/>
        <v>30</v>
      </c>
      <c r="AJ23" s="144"/>
    </row>
    <row r="24" spans="1:36" s="141" customFormat="1" x14ac:dyDescent="0.2">
      <c r="A24" s="138">
        <v>13</v>
      </c>
      <c r="B24" s="139" t="s">
        <v>83</v>
      </c>
      <c r="C24" s="139" t="str">
        <f>VLOOKUP(B24,[1]Worksheet!$B$6:$C$153,2,0)</f>
        <v>SSI013</v>
      </c>
      <c r="D24" s="139"/>
      <c r="E24" s="138">
        <v>1</v>
      </c>
      <c r="F24" s="138"/>
      <c r="G24" s="138">
        <v>1</v>
      </c>
      <c r="H24" s="138">
        <v>1</v>
      </c>
      <c r="I24" s="138">
        <v>1</v>
      </c>
      <c r="J24" s="138">
        <v>1</v>
      </c>
      <c r="K24" s="138">
        <v>1</v>
      </c>
      <c r="L24" s="138">
        <v>1</v>
      </c>
      <c r="M24" s="138"/>
      <c r="N24" s="138">
        <v>1</v>
      </c>
      <c r="O24" s="138">
        <v>1</v>
      </c>
      <c r="P24" s="138">
        <v>1</v>
      </c>
      <c r="Q24" s="138">
        <v>1</v>
      </c>
      <c r="R24" s="138">
        <v>1</v>
      </c>
      <c r="S24" s="138">
        <v>1</v>
      </c>
      <c r="T24" s="138"/>
      <c r="U24" s="138">
        <v>1</v>
      </c>
      <c r="V24" s="138">
        <v>1</v>
      </c>
      <c r="W24" s="138">
        <v>1</v>
      </c>
      <c r="X24" s="138">
        <v>1</v>
      </c>
      <c r="Y24" s="138">
        <v>1</v>
      </c>
      <c r="Z24" s="138">
        <v>1</v>
      </c>
      <c r="AA24" s="138"/>
      <c r="AB24" s="138">
        <v>1</v>
      </c>
      <c r="AC24" s="138">
        <v>1</v>
      </c>
      <c r="AD24" s="138">
        <v>1</v>
      </c>
      <c r="AE24" s="138">
        <v>1</v>
      </c>
      <c r="AF24" s="138">
        <v>1</v>
      </c>
      <c r="AG24" s="138">
        <v>1</v>
      </c>
      <c r="AH24" s="138"/>
      <c r="AI24" s="140">
        <f t="shared" si="0"/>
        <v>25</v>
      </c>
      <c r="AJ24" s="144"/>
    </row>
    <row r="25" spans="1:36" s="141" customFormat="1" x14ac:dyDescent="0.2">
      <c r="A25" s="138">
        <v>14</v>
      </c>
      <c r="B25" s="139" t="s">
        <v>84</v>
      </c>
      <c r="C25" s="139" t="str">
        <f>VLOOKUP(B25,[1]Worksheet!$B$6:$C$153,2,0)</f>
        <v>SSI014</v>
      </c>
      <c r="D25" s="139"/>
      <c r="E25" s="138">
        <v>1</v>
      </c>
      <c r="F25" s="138"/>
      <c r="G25" s="138">
        <v>1</v>
      </c>
      <c r="H25" s="138">
        <v>1</v>
      </c>
      <c r="I25" s="138">
        <v>1</v>
      </c>
      <c r="J25" s="138">
        <v>1</v>
      </c>
      <c r="K25" s="138">
        <v>1</v>
      </c>
      <c r="L25" s="138">
        <v>1</v>
      </c>
      <c r="M25" s="138"/>
      <c r="N25" s="138">
        <v>1</v>
      </c>
      <c r="O25" s="138">
        <v>1</v>
      </c>
      <c r="P25" s="138">
        <v>1</v>
      </c>
      <c r="Q25" s="138">
        <v>1</v>
      </c>
      <c r="R25" s="138">
        <v>1</v>
      </c>
      <c r="S25" s="138">
        <v>1</v>
      </c>
      <c r="T25" s="138"/>
      <c r="U25" s="138">
        <v>1</v>
      </c>
      <c r="V25" s="138">
        <v>1</v>
      </c>
      <c r="W25" s="138">
        <v>1</v>
      </c>
      <c r="X25" s="138">
        <v>1</v>
      </c>
      <c r="Y25" s="138">
        <v>1</v>
      </c>
      <c r="Z25" s="138">
        <v>1</v>
      </c>
      <c r="AA25" s="138"/>
      <c r="AB25" s="138">
        <v>1</v>
      </c>
      <c r="AC25" s="138">
        <v>1</v>
      </c>
      <c r="AD25" s="138">
        <v>1</v>
      </c>
      <c r="AE25" s="138">
        <v>1</v>
      </c>
      <c r="AF25" s="138">
        <v>1</v>
      </c>
      <c r="AG25" s="138">
        <v>1</v>
      </c>
      <c r="AH25" s="138"/>
      <c r="AI25" s="140">
        <f t="shared" si="0"/>
        <v>25</v>
      </c>
      <c r="AJ25" s="145" t="s">
        <v>17</v>
      </c>
    </row>
    <row r="26" spans="1:36" s="141" customFormat="1" ht="16.5" customHeight="1" x14ac:dyDescent="0.2">
      <c r="A26" s="138">
        <v>15</v>
      </c>
      <c r="B26" s="146" t="s">
        <v>85</v>
      </c>
      <c r="C26" s="139" t="str">
        <f>VLOOKUP(B26,[1]Worksheet!$B$6:$C$153,2,0)</f>
        <v>SSI015</v>
      </c>
      <c r="D26" s="146"/>
      <c r="E26" s="138">
        <v>1</v>
      </c>
      <c r="F26" s="138"/>
      <c r="G26" s="138">
        <v>1</v>
      </c>
      <c r="H26" s="138">
        <v>1</v>
      </c>
      <c r="I26" s="138">
        <v>1</v>
      </c>
      <c r="J26" s="138">
        <v>1</v>
      </c>
      <c r="K26" s="138">
        <v>1</v>
      </c>
      <c r="L26" s="138">
        <v>1</v>
      </c>
      <c r="M26" s="138"/>
      <c r="N26" s="138">
        <v>1</v>
      </c>
      <c r="O26" s="138">
        <v>1</v>
      </c>
      <c r="P26" s="138">
        <v>1</v>
      </c>
      <c r="Q26" s="138">
        <v>1</v>
      </c>
      <c r="R26" s="138">
        <v>1</v>
      </c>
      <c r="S26" s="138">
        <v>1</v>
      </c>
      <c r="T26" s="138"/>
      <c r="U26" s="138">
        <v>1</v>
      </c>
      <c r="V26" s="138">
        <v>1</v>
      </c>
      <c r="W26" s="138">
        <v>1</v>
      </c>
      <c r="X26" s="138">
        <v>1</v>
      </c>
      <c r="Y26" s="138">
        <v>1</v>
      </c>
      <c r="Z26" s="138">
        <v>1</v>
      </c>
      <c r="AA26" s="138"/>
      <c r="AB26" s="138">
        <v>1</v>
      </c>
      <c r="AC26" s="138">
        <v>1</v>
      </c>
      <c r="AD26" s="138">
        <v>1</v>
      </c>
      <c r="AE26" s="138"/>
      <c r="AF26" s="138">
        <v>1</v>
      </c>
      <c r="AG26" s="138">
        <v>1</v>
      </c>
      <c r="AH26" s="138"/>
      <c r="AI26" s="140">
        <f t="shared" si="0"/>
        <v>24</v>
      </c>
      <c r="AJ26" s="144"/>
    </row>
    <row r="27" spans="1:36" s="141" customFormat="1" ht="17.25" customHeight="1" x14ac:dyDescent="0.2">
      <c r="A27" s="138">
        <v>16</v>
      </c>
      <c r="B27" s="147" t="s">
        <v>201</v>
      </c>
      <c r="C27" s="139" t="str">
        <f>VLOOKUP(B27,[1]Worksheet!$B$6:$C$153,2,0)</f>
        <v>SSI016</v>
      </c>
      <c r="D27" s="146"/>
      <c r="E27" s="138">
        <v>1</v>
      </c>
      <c r="F27" s="138"/>
      <c r="G27" s="138">
        <v>1</v>
      </c>
      <c r="H27" s="138">
        <v>1</v>
      </c>
      <c r="I27" s="138">
        <v>1</v>
      </c>
      <c r="J27" s="138">
        <v>1</v>
      </c>
      <c r="K27" s="138">
        <v>1</v>
      </c>
      <c r="L27" s="138">
        <v>1</v>
      </c>
      <c r="M27" s="138"/>
      <c r="N27" s="138"/>
      <c r="O27" s="138">
        <v>1</v>
      </c>
      <c r="P27" s="138"/>
      <c r="Q27" s="138"/>
      <c r="R27" s="138">
        <v>1</v>
      </c>
      <c r="S27" s="138">
        <v>1</v>
      </c>
      <c r="T27" s="138"/>
      <c r="U27" s="138"/>
      <c r="V27" s="138">
        <v>1</v>
      </c>
      <c r="W27" s="138">
        <v>1</v>
      </c>
      <c r="X27" s="138">
        <v>1</v>
      </c>
      <c r="Y27" s="138">
        <v>1</v>
      </c>
      <c r="Z27" s="138">
        <v>1</v>
      </c>
      <c r="AA27" s="138"/>
      <c r="AB27" s="138">
        <v>1</v>
      </c>
      <c r="AC27" s="138">
        <v>1</v>
      </c>
      <c r="AD27" s="138">
        <v>1</v>
      </c>
      <c r="AE27" s="138"/>
      <c r="AF27" s="138">
        <v>1</v>
      </c>
      <c r="AG27" s="138">
        <v>1</v>
      </c>
      <c r="AH27" s="138"/>
      <c r="AI27" s="140">
        <f t="shared" si="0"/>
        <v>20</v>
      </c>
      <c r="AJ27" s="144"/>
    </row>
    <row r="28" spans="1:36" s="141" customFormat="1" ht="17.25" customHeight="1" x14ac:dyDescent="0.2">
      <c r="A28" s="138">
        <v>17</v>
      </c>
      <c r="B28" s="139" t="s">
        <v>170</v>
      </c>
      <c r="C28" s="139" t="str">
        <f>VLOOKUP(B28,[1]Worksheet!$B$6:$C$153,2,0)</f>
        <v>SSI017</v>
      </c>
      <c r="D28" s="139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40">
        <f t="shared" si="0"/>
        <v>0</v>
      </c>
      <c r="AJ28" s="144"/>
    </row>
    <row r="29" spans="1:36" s="141" customFormat="1" ht="17.25" customHeight="1" x14ac:dyDescent="0.2">
      <c r="A29" s="138">
        <v>18</v>
      </c>
      <c r="B29" s="139" t="s">
        <v>171</v>
      </c>
      <c r="C29" s="139" t="str">
        <f>VLOOKUP(B29,[1]Worksheet!$B$6:$C$153,2,0)</f>
        <v>SSI018</v>
      </c>
      <c r="D29" s="148"/>
      <c r="E29" s="149">
        <v>1</v>
      </c>
      <c r="F29" s="138"/>
      <c r="G29" s="138">
        <v>1</v>
      </c>
      <c r="H29" s="138">
        <v>1</v>
      </c>
      <c r="I29" s="138">
        <v>1</v>
      </c>
      <c r="J29" s="138">
        <v>1</v>
      </c>
      <c r="K29" s="138">
        <v>1</v>
      </c>
      <c r="L29" s="138">
        <v>1</v>
      </c>
      <c r="M29" s="138"/>
      <c r="N29" s="138">
        <v>1</v>
      </c>
      <c r="O29" s="138">
        <v>1</v>
      </c>
      <c r="P29" s="138">
        <v>1</v>
      </c>
      <c r="Q29" s="138">
        <v>1</v>
      </c>
      <c r="R29" s="138">
        <v>1</v>
      </c>
      <c r="S29" s="138">
        <v>1</v>
      </c>
      <c r="T29" s="138"/>
      <c r="U29" s="138">
        <v>1</v>
      </c>
      <c r="V29" s="138">
        <v>1</v>
      </c>
      <c r="W29" s="138">
        <v>1</v>
      </c>
      <c r="X29" s="138">
        <v>1</v>
      </c>
      <c r="Y29" s="138">
        <v>1</v>
      </c>
      <c r="Z29" s="138">
        <v>1</v>
      </c>
      <c r="AA29" s="138"/>
      <c r="AB29" s="138">
        <v>1</v>
      </c>
      <c r="AC29" s="138">
        <v>1</v>
      </c>
      <c r="AD29" s="138">
        <v>1</v>
      </c>
      <c r="AE29" s="138">
        <v>1</v>
      </c>
      <c r="AF29" s="138">
        <v>1</v>
      </c>
      <c r="AG29" s="138">
        <v>1</v>
      </c>
      <c r="AH29" s="138"/>
      <c r="AI29" s="140">
        <f t="shared" si="0"/>
        <v>25</v>
      </c>
      <c r="AJ29" s="144"/>
    </row>
    <row r="30" spans="1:36" s="141" customFormat="1" ht="16.5" customHeight="1" x14ac:dyDescent="0.2">
      <c r="A30" s="138">
        <v>19</v>
      </c>
      <c r="B30" s="139" t="s">
        <v>196</v>
      </c>
      <c r="C30" s="139" t="str">
        <f>VLOOKUP(B30,[1]Worksheet!$B$6:$C$153,2,0)</f>
        <v>SSI148</v>
      </c>
      <c r="D30" s="139"/>
      <c r="E30" s="138">
        <v>1</v>
      </c>
      <c r="F30" s="138"/>
      <c r="G30" s="138">
        <v>1</v>
      </c>
      <c r="H30" s="138">
        <v>1</v>
      </c>
      <c r="I30" s="138">
        <v>1</v>
      </c>
      <c r="J30" s="138">
        <v>1</v>
      </c>
      <c r="K30" s="138">
        <v>1</v>
      </c>
      <c r="L30" s="138">
        <v>1</v>
      </c>
      <c r="M30" s="138"/>
      <c r="N30" s="138">
        <v>1</v>
      </c>
      <c r="O30" s="138">
        <v>1</v>
      </c>
      <c r="P30" s="138"/>
      <c r="Q30" s="138">
        <v>1</v>
      </c>
      <c r="R30" s="138">
        <v>1</v>
      </c>
      <c r="S30" s="138">
        <v>1</v>
      </c>
      <c r="T30" s="138"/>
      <c r="U30" s="138">
        <v>1</v>
      </c>
      <c r="V30" s="138">
        <v>1</v>
      </c>
      <c r="W30" s="138">
        <v>1</v>
      </c>
      <c r="X30" s="138">
        <v>1</v>
      </c>
      <c r="Y30" s="138">
        <v>1</v>
      </c>
      <c r="Z30" s="138">
        <v>1</v>
      </c>
      <c r="AA30" s="138"/>
      <c r="AB30" s="138">
        <v>1</v>
      </c>
      <c r="AC30" s="138">
        <v>1</v>
      </c>
      <c r="AD30" s="138">
        <v>1</v>
      </c>
      <c r="AE30" s="138">
        <v>1</v>
      </c>
      <c r="AF30" s="138">
        <v>1</v>
      </c>
      <c r="AG30" s="138">
        <v>1</v>
      </c>
      <c r="AH30" s="138"/>
      <c r="AI30" s="140">
        <f>SUM(E30:AH30)</f>
        <v>24</v>
      </c>
      <c r="AJ30" s="144"/>
    </row>
    <row r="31" spans="1:36" s="151" customFormat="1" ht="16.5" customHeight="1" x14ac:dyDescent="0.2">
      <c r="A31" s="138">
        <v>20</v>
      </c>
      <c r="B31" s="139" t="s">
        <v>197</v>
      </c>
      <c r="C31" s="139" t="e">
        <f>VLOOKUP(B31,[1]Worksheet!$B$6:$C$153,2,0)</f>
        <v>#N/A</v>
      </c>
      <c r="D31" s="139" t="s">
        <v>222</v>
      </c>
      <c r="E31" s="138">
        <v>1</v>
      </c>
      <c r="F31" s="138"/>
      <c r="G31" s="138"/>
      <c r="H31" s="138"/>
      <c r="I31" s="138"/>
      <c r="J31" s="138"/>
      <c r="K31" s="138"/>
      <c r="L31" s="138"/>
      <c r="M31" s="138"/>
      <c r="N31" s="138">
        <v>1</v>
      </c>
      <c r="O31" s="138"/>
      <c r="P31" s="138">
        <v>1</v>
      </c>
      <c r="Q31" s="138"/>
      <c r="R31" s="138"/>
      <c r="S31" s="138"/>
      <c r="T31" s="138"/>
      <c r="U31" s="138"/>
      <c r="V31" s="138">
        <v>1</v>
      </c>
      <c r="W31" s="138"/>
      <c r="X31" s="138"/>
      <c r="Y31" s="138">
        <v>1</v>
      </c>
      <c r="Z31" s="138"/>
      <c r="AA31" s="138"/>
      <c r="AB31" s="138"/>
      <c r="AC31" s="138"/>
      <c r="AD31" s="138"/>
      <c r="AE31" s="138"/>
      <c r="AF31" s="138"/>
      <c r="AG31" s="138"/>
      <c r="AH31" s="138"/>
      <c r="AI31" s="140"/>
      <c r="AJ31" s="150"/>
    </row>
    <row r="32" spans="1:36" s="23" customFormat="1" x14ac:dyDescent="0.2">
      <c r="A32" s="24"/>
      <c r="E32" s="25"/>
      <c r="F32" s="26"/>
      <c r="G32" s="25"/>
      <c r="H32" s="25"/>
      <c r="I32" s="25"/>
      <c r="J32" s="25"/>
      <c r="K32" s="25"/>
      <c r="L32" s="25"/>
      <c r="M32" s="25"/>
      <c r="N32" s="25"/>
      <c r="O32" s="27"/>
      <c r="P32" s="27"/>
      <c r="Q32" s="27"/>
      <c r="R32" s="27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8">
        <f>SUM(AI12:AI30)</f>
        <v>437</v>
      </c>
      <c r="AJ32" s="22"/>
    </row>
    <row r="33" spans="1:40" x14ac:dyDescent="0.2">
      <c r="A33" s="29"/>
      <c r="B33" s="6"/>
      <c r="C33" s="6"/>
      <c r="D33" s="6"/>
      <c r="E33" s="30"/>
      <c r="F33" s="31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2"/>
      <c r="AJ33" s="21"/>
      <c r="AN33" s="4"/>
    </row>
    <row r="34" spans="1:40" x14ac:dyDescent="0.2">
      <c r="A34" s="29"/>
      <c r="B34" s="6"/>
      <c r="C34" s="6"/>
      <c r="D34" s="6"/>
      <c r="E34" s="30"/>
      <c r="F34" s="31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2"/>
      <c r="AJ34" s="32"/>
      <c r="AN34" s="4"/>
    </row>
    <row r="35" spans="1:40" ht="14.25" customHeight="1" x14ac:dyDescent="0.2">
      <c r="A35" s="8" t="s">
        <v>6</v>
      </c>
      <c r="B35" s="33" t="s">
        <v>7</v>
      </c>
      <c r="C35" s="33"/>
      <c r="D35" s="33"/>
      <c r="E35" s="10" t="s">
        <v>8</v>
      </c>
      <c r="F35" s="11" t="s">
        <v>9</v>
      </c>
      <c r="G35" s="10" t="s">
        <v>10</v>
      </c>
      <c r="H35" s="10" t="s">
        <v>11</v>
      </c>
      <c r="I35" s="10" t="s">
        <v>12</v>
      </c>
      <c r="J35" s="10" t="s">
        <v>13</v>
      </c>
      <c r="K35" s="12" t="s">
        <v>14</v>
      </c>
      <c r="L35" s="10" t="s">
        <v>8</v>
      </c>
      <c r="M35" s="11" t="s">
        <v>9</v>
      </c>
      <c r="N35" s="10" t="s">
        <v>10</v>
      </c>
      <c r="O35" s="10" t="s">
        <v>11</v>
      </c>
      <c r="P35" s="10" t="s">
        <v>12</v>
      </c>
      <c r="Q35" s="10" t="s">
        <v>13</v>
      </c>
      <c r="R35" s="12" t="s">
        <v>14</v>
      </c>
      <c r="S35" s="10" t="s">
        <v>8</v>
      </c>
      <c r="T35" s="11" t="s">
        <v>9</v>
      </c>
      <c r="U35" s="10" t="s">
        <v>10</v>
      </c>
      <c r="V35" s="10" t="s">
        <v>11</v>
      </c>
      <c r="W35" s="10" t="s">
        <v>12</v>
      </c>
      <c r="X35" s="10" t="s">
        <v>13</v>
      </c>
      <c r="Y35" s="12" t="s">
        <v>14</v>
      </c>
      <c r="Z35" s="10" t="s">
        <v>8</v>
      </c>
      <c r="AA35" s="11" t="s">
        <v>9</v>
      </c>
      <c r="AB35" s="10" t="s">
        <v>10</v>
      </c>
      <c r="AC35" s="10" t="s">
        <v>11</v>
      </c>
      <c r="AD35" s="10" t="s">
        <v>12</v>
      </c>
      <c r="AE35" s="10" t="s">
        <v>13</v>
      </c>
      <c r="AF35" s="12" t="s">
        <v>14</v>
      </c>
      <c r="AG35" s="10" t="s">
        <v>8</v>
      </c>
      <c r="AH35" s="11" t="s">
        <v>9</v>
      </c>
      <c r="AI35" s="137" t="s">
        <v>15</v>
      </c>
      <c r="AN35" s="4"/>
    </row>
    <row r="36" spans="1:40" ht="15.75" x14ac:dyDescent="0.25">
      <c r="A36" s="8"/>
      <c r="B36" s="34" t="s">
        <v>18</v>
      </c>
      <c r="C36" s="34"/>
      <c r="D36" s="34"/>
      <c r="E36" s="15">
        <v>1</v>
      </c>
      <c r="F36" s="15">
        <v>2</v>
      </c>
      <c r="G36" s="15">
        <v>3</v>
      </c>
      <c r="H36" s="15">
        <v>4</v>
      </c>
      <c r="I36" s="15">
        <v>5</v>
      </c>
      <c r="J36" s="15">
        <v>6</v>
      </c>
      <c r="K36" s="15">
        <v>7</v>
      </c>
      <c r="L36" s="15">
        <v>8</v>
      </c>
      <c r="M36" s="15">
        <v>9</v>
      </c>
      <c r="N36" s="15">
        <v>10</v>
      </c>
      <c r="O36" s="15">
        <v>11</v>
      </c>
      <c r="P36" s="15">
        <v>12</v>
      </c>
      <c r="Q36" s="15">
        <v>13</v>
      </c>
      <c r="R36" s="15">
        <v>14</v>
      </c>
      <c r="S36" s="15">
        <v>15</v>
      </c>
      <c r="T36" s="15">
        <v>16</v>
      </c>
      <c r="U36" s="15">
        <v>17</v>
      </c>
      <c r="V36" s="15">
        <v>18</v>
      </c>
      <c r="W36" s="15">
        <v>19</v>
      </c>
      <c r="X36" s="15">
        <v>20</v>
      </c>
      <c r="Y36" s="15">
        <v>21</v>
      </c>
      <c r="Z36" s="15">
        <v>22</v>
      </c>
      <c r="AA36" s="15">
        <v>23</v>
      </c>
      <c r="AB36" s="15">
        <v>24</v>
      </c>
      <c r="AC36" s="15">
        <v>25</v>
      </c>
      <c r="AD36" s="15">
        <v>26</v>
      </c>
      <c r="AE36" s="15">
        <v>27</v>
      </c>
      <c r="AF36" s="15">
        <v>28</v>
      </c>
      <c r="AG36" s="15">
        <v>29</v>
      </c>
      <c r="AH36" s="15">
        <v>30</v>
      </c>
      <c r="AI36" s="137"/>
      <c r="AJ36" s="13"/>
    </row>
    <row r="37" spans="1:40" s="141" customFormat="1" x14ac:dyDescent="0.2">
      <c r="A37" s="138">
        <v>1</v>
      </c>
      <c r="B37" s="139" t="s">
        <v>86</v>
      </c>
      <c r="C37" s="139" t="str">
        <f>VLOOKUP(B37,[1]Worksheet!$B$6:$C$153,2,0)</f>
        <v>SSI019</v>
      </c>
      <c r="D37" s="139"/>
      <c r="E37" s="138">
        <v>1</v>
      </c>
      <c r="F37" s="138">
        <v>1</v>
      </c>
      <c r="G37" s="138">
        <v>1</v>
      </c>
      <c r="H37" s="138">
        <v>1</v>
      </c>
      <c r="I37" s="138">
        <v>1</v>
      </c>
      <c r="J37" s="138">
        <v>1</v>
      </c>
      <c r="K37" s="138">
        <v>2</v>
      </c>
      <c r="L37" s="138">
        <v>1</v>
      </c>
      <c r="M37" s="138">
        <v>1</v>
      </c>
      <c r="N37" s="138">
        <v>1</v>
      </c>
      <c r="O37" s="138">
        <v>2</v>
      </c>
      <c r="P37" s="138">
        <v>1</v>
      </c>
      <c r="Q37" s="138">
        <v>1</v>
      </c>
      <c r="R37" s="138">
        <v>1</v>
      </c>
      <c r="S37" s="138"/>
      <c r="T37" s="138">
        <v>1</v>
      </c>
      <c r="U37" s="138">
        <v>1</v>
      </c>
      <c r="V37" s="138">
        <v>1</v>
      </c>
      <c r="W37" s="138">
        <v>2</v>
      </c>
      <c r="X37" s="138">
        <v>1</v>
      </c>
      <c r="Y37" s="138">
        <v>1</v>
      </c>
      <c r="Z37" s="138">
        <v>1</v>
      </c>
      <c r="AA37" s="138">
        <v>2</v>
      </c>
      <c r="AB37" s="138">
        <v>1</v>
      </c>
      <c r="AC37" s="138">
        <v>1</v>
      </c>
      <c r="AD37" s="138">
        <v>1</v>
      </c>
      <c r="AE37" s="138">
        <v>1</v>
      </c>
      <c r="AF37" s="138">
        <v>1</v>
      </c>
      <c r="AG37" s="138">
        <v>2</v>
      </c>
      <c r="AH37" s="138">
        <v>1</v>
      </c>
      <c r="AI37" s="140">
        <f>SUM(E37:AH37)</f>
        <v>34</v>
      </c>
      <c r="AJ37" s="152"/>
    </row>
    <row r="38" spans="1:40" s="141" customFormat="1" ht="14.25" customHeight="1" x14ac:dyDescent="0.2">
      <c r="A38" s="138">
        <v>2</v>
      </c>
      <c r="B38" s="139" t="s">
        <v>87</v>
      </c>
      <c r="C38" s="139" t="str">
        <f>VLOOKUP(B38,[1]Worksheet!$B$6:$C$153,2,0)</f>
        <v>SSI020</v>
      </c>
      <c r="D38" s="139"/>
      <c r="E38" s="138">
        <v>1</v>
      </c>
      <c r="F38" s="138">
        <v>1</v>
      </c>
      <c r="G38" s="138">
        <v>1</v>
      </c>
      <c r="H38" s="138">
        <v>1</v>
      </c>
      <c r="I38" s="138">
        <v>1</v>
      </c>
      <c r="J38" s="138">
        <v>1</v>
      </c>
      <c r="K38" s="138">
        <v>1</v>
      </c>
      <c r="L38" s="138">
        <v>1</v>
      </c>
      <c r="M38" s="138">
        <v>1</v>
      </c>
      <c r="N38" s="138">
        <v>1</v>
      </c>
      <c r="O38" s="138"/>
      <c r="P38" s="138">
        <v>1</v>
      </c>
      <c r="Q38" s="138">
        <v>1</v>
      </c>
      <c r="R38" s="138">
        <v>2</v>
      </c>
      <c r="S38" s="138">
        <v>1</v>
      </c>
      <c r="T38" s="138">
        <v>1</v>
      </c>
      <c r="U38" s="138">
        <v>1</v>
      </c>
      <c r="V38" s="138"/>
      <c r="W38" s="138"/>
      <c r="X38" s="138">
        <v>1</v>
      </c>
      <c r="Y38" s="138">
        <v>1</v>
      </c>
      <c r="Z38" s="138">
        <v>1</v>
      </c>
      <c r="AA38" s="138"/>
      <c r="AB38" s="138">
        <v>1</v>
      </c>
      <c r="AC38" s="138">
        <v>1</v>
      </c>
      <c r="AD38" s="138">
        <v>1</v>
      </c>
      <c r="AE38" s="138">
        <v>1</v>
      </c>
      <c r="AF38" s="138">
        <v>1</v>
      </c>
      <c r="AG38" s="138">
        <v>1</v>
      </c>
      <c r="AH38" s="138">
        <v>1</v>
      </c>
      <c r="AI38" s="140">
        <f t="shared" ref="AI38:AI39" si="1">SUM(E38:AH38)</f>
        <v>27</v>
      </c>
      <c r="AJ38" s="152"/>
    </row>
    <row r="39" spans="1:40" s="141" customFormat="1" ht="14.25" customHeight="1" x14ac:dyDescent="0.2">
      <c r="A39" s="138">
        <v>3</v>
      </c>
      <c r="B39" s="143" t="s">
        <v>88</v>
      </c>
      <c r="C39" s="139" t="str">
        <f>VLOOKUP(B39,[1]Worksheet!$B$6:$C$153,2,0)</f>
        <v>SSI021</v>
      </c>
      <c r="D39" s="143"/>
      <c r="E39" s="138">
        <v>1</v>
      </c>
      <c r="F39" s="138">
        <v>1</v>
      </c>
      <c r="G39" s="138">
        <v>1</v>
      </c>
      <c r="H39" s="138">
        <v>1</v>
      </c>
      <c r="I39" s="138">
        <v>1</v>
      </c>
      <c r="J39" s="138">
        <v>1</v>
      </c>
      <c r="K39" s="138"/>
      <c r="L39" s="138">
        <v>1</v>
      </c>
      <c r="M39" s="138">
        <v>1</v>
      </c>
      <c r="N39" s="138">
        <v>1</v>
      </c>
      <c r="O39" s="138">
        <v>1</v>
      </c>
      <c r="P39" s="138">
        <v>1</v>
      </c>
      <c r="Q39" s="138">
        <v>1</v>
      </c>
      <c r="R39" s="138"/>
      <c r="S39" s="138">
        <v>2</v>
      </c>
      <c r="T39" s="138">
        <v>1</v>
      </c>
      <c r="U39" s="138">
        <v>1</v>
      </c>
      <c r="V39" s="138">
        <v>2</v>
      </c>
      <c r="W39" s="138">
        <v>1</v>
      </c>
      <c r="X39" s="138">
        <v>1</v>
      </c>
      <c r="Y39" s="138">
        <v>1</v>
      </c>
      <c r="Z39" s="138">
        <v>1</v>
      </c>
      <c r="AA39" s="138">
        <v>1</v>
      </c>
      <c r="AB39" s="138">
        <v>1</v>
      </c>
      <c r="AC39" s="138">
        <v>1</v>
      </c>
      <c r="AD39" s="138">
        <v>1</v>
      </c>
      <c r="AE39" s="138">
        <v>1</v>
      </c>
      <c r="AF39" s="138">
        <v>1</v>
      </c>
      <c r="AG39" s="138"/>
      <c r="AH39" s="138">
        <v>1</v>
      </c>
      <c r="AI39" s="140">
        <f t="shared" si="1"/>
        <v>29</v>
      </c>
      <c r="AJ39" s="144"/>
    </row>
    <row r="40" spans="1:40" s="141" customFormat="1" ht="15" customHeight="1" x14ac:dyDescent="0.2">
      <c r="A40" s="138">
        <v>4</v>
      </c>
      <c r="B40" s="139" t="s">
        <v>89</v>
      </c>
      <c r="C40" s="139" t="str">
        <f>VLOOKUP(B40,[1]Worksheet!$B$6:$C$153,2,0)</f>
        <v>SSI022</v>
      </c>
      <c r="D40" s="139"/>
      <c r="E40" s="138">
        <v>1</v>
      </c>
      <c r="F40" s="138">
        <v>1</v>
      </c>
      <c r="G40" s="138">
        <v>1</v>
      </c>
      <c r="H40" s="138">
        <v>1</v>
      </c>
      <c r="I40" s="138">
        <v>1</v>
      </c>
      <c r="J40" s="138">
        <v>1</v>
      </c>
      <c r="K40" s="138">
        <v>1</v>
      </c>
      <c r="L40" s="138">
        <v>1</v>
      </c>
      <c r="M40" s="138">
        <v>1</v>
      </c>
      <c r="N40" s="138">
        <v>1</v>
      </c>
      <c r="O40" s="138">
        <v>1</v>
      </c>
      <c r="P40" s="138">
        <v>1</v>
      </c>
      <c r="Q40" s="138">
        <v>1</v>
      </c>
      <c r="R40" s="138"/>
      <c r="S40" s="138">
        <v>1</v>
      </c>
      <c r="T40" s="138">
        <v>1</v>
      </c>
      <c r="U40" s="138">
        <v>1</v>
      </c>
      <c r="V40" s="138">
        <v>1</v>
      </c>
      <c r="W40" s="138">
        <v>1</v>
      </c>
      <c r="X40" s="138">
        <v>1</v>
      </c>
      <c r="Y40" s="138">
        <v>1</v>
      </c>
      <c r="Z40" s="138">
        <v>1</v>
      </c>
      <c r="AA40" s="138"/>
      <c r="AB40" s="138">
        <v>1</v>
      </c>
      <c r="AC40" s="138">
        <v>1</v>
      </c>
      <c r="AD40" s="138">
        <v>1</v>
      </c>
      <c r="AE40" s="138">
        <v>1</v>
      </c>
      <c r="AF40" s="138">
        <v>1</v>
      </c>
      <c r="AG40" s="138">
        <v>1</v>
      </c>
      <c r="AH40" s="138"/>
      <c r="AI40" s="140">
        <f>SUM(E40:AH40)</f>
        <v>27</v>
      </c>
      <c r="AJ40" s="142"/>
    </row>
    <row r="41" spans="1:40" x14ac:dyDescent="0.2">
      <c r="A41" s="29"/>
      <c r="B41" s="6"/>
      <c r="C41" s="6"/>
      <c r="D41" s="6"/>
      <c r="E41" s="30"/>
      <c r="F41" s="31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2"/>
      <c r="AJ41" s="32"/>
    </row>
    <row r="42" spans="1:40" x14ac:dyDescent="0.2">
      <c r="A42" s="35"/>
      <c r="B42" s="36"/>
      <c r="C42" s="36"/>
      <c r="D42" s="36"/>
      <c r="E42" s="37"/>
      <c r="F42" s="38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9"/>
      <c r="AJ42" s="13"/>
    </row>
    <row r="43" spans="1:40" ht="14.25" customHeight="1" x14ac:dyDescent="0.2">
      <c r="A43" s="8">
        <v>1</v>
      </c>
      <c r="B43" s="33" t="s">
        <v>7</v>
      </c>
      <c r="C43" s="33"/>
      <c r="D43" s="33"/>
      <c r="E43" s="10" t="s">
        <v>8</v>
      </c>
      <c r="F43" s="11" t="s">
        <v>9</v>
      </c>
      <c r="G43" s="10" t="s">
        <v>10</v>
      </c>
      <c r="H43" s="10" t="s">
        <v>11</v>
      </c>
      <c r="I43" s="10" t="s">
        <v>12</v>
      </c>
      <c r="J43" s="10" t="s">
        <v>13</v>
      </c>
      <c r="K43" s="12" t="s">
        <v>14</v>
      </c>
      <c r="L43" s="10" t="s">
        <v>8</v>
      </c>
      <c r="M43" s="11" t="s">
        <v>9</v>
      </c>
      <c r="N43" s="10" t="s">
        <v>10</v>
      </c>
      <c r="O43" s="10" t="s">
        <v>11</v>
      </c>
      <c r="P43" s="10" t="s">
        <v>12</v>
      </c>
      <c r="Q43" s="10" t="s">
        <v>13</v>
      </c>
      <c r="R43" s="12" t="s">
        <v>14</v>
      </c>
      <c r="S43" s="10" t="s">
        <v>8</v>
      </c>
      <c r="T43" s="11" t="s">
        <v>9</v>
      </c>
      <c r="U43" s="10" t="s">
        <v>10</v>
      </c>
      <c r="V43" s="10" t="s">
        <v>11</v>
      </c>
      <c r="W43" s="10" t="s">
        <v>12</v>
      </c>
      <c r="X43" s="10" t="s">
        <v>13</v>
      </c>
      <c r="Y43" s="12" t="s">
        <v>14</v>
      </c>
      <c r="Z43" s="10" t="s">
        <v>8</v>
      </c>
      <c r="AA43" s="11" t="s">
        <v>9</v>
      </c>
      <c r="AB43" s="10" t="s">
        <v>10</v>
      </c>
      <c r="AC43" s="10" t="s">
        <v>11</v>
      </c>
      <c r="AD43" s="10" t="s">
        <v>12</v>
      </c>
      <c r="AE43" s="10" t="s">
        <v>13</v>
      </c>
      <c r="AF43" s="12" t="s">
        <v>14</v>
      </c>
      <c r="AG43" s="10" t="s">
        <v>8</v>
      </c>
      <c r="AH43" s="11" t="s">
        <v>9</v>
      </c>
      <c r="AI43" s="133" t="s">
        <v>15</v>
      </c>
      <c r="AJ43" s="13"/>
    </row>
    <row r="44" spans="1:40" ht="14.25" customHeight="1" x14ac:dyDescent="0.25">
      <c r="A44" s="8"/>
      <c r="B44" s="40" t="s">
        <v>19</v>
      </c>
      <c r="C44" s="40"/>
      <c r="D44" s="40"/>
      <c r="E44" s="15">
        <v>1</v>
      </c>
      <c r="F44" s="15">
        <v>2</v>
      </c>
      <c r="G44" s="15">
        <v>3</v>
      </c>
      <c r="H44" s="15">
        <v>4</v>
      </c>
      <c r="I44" s="15">
        <v>5</v>
      </c>
      <c r="J44" s="15">
        <v>6</v>
      </c>
      <c r="K44" s="15">
        <v>7</v>
      </c>
      <c r="L44" s="15">
        <v>8</v>
      </c>
      <c r="M44" s="15">
        <v>9</v>
      </c>
      <c r="N44" s="15">
        <v>10</v>
      </c>
      <c r="O44" s="15">
        <v>11</v>
      </c>
      <c r="P44" s="15">
        <v>12</v>
      </c>
      <c r="Q44" s="15">
        <v>13</v>
      </c>
      <c r="R44" s="15">
        <v>14</v>
      </c>
      <c r="S44" s="15">
        <v>15</v>
      </c>
      <c r="T44" s="15">
        <v>16</v>
      </c>
      <c r="U44" s="15">
        <v>17</v>
      </c>
      <c r="V44" s="15">
        <v>18</v>
      </c>
      <c r="W44" s="15">
        <v>19</v>
      </c>
      <c r="X44" s="15">
        <v>20</v>
      </c>
      <c r="Y44" s="15">
        <v>21</v>
      </c>
      <c r="Z44" s="15">
        <v>22</v>
      </c>
      <c r="AA44" s="15">
        <v>23</v>
      </c>
      <c r="AB44" s="15">
        <v>24</v>
      </c>
      <c r="AC44" s="15">
        <v>25</v>
      </c>
      <c r="AD44" s="15">
        <v>26</v>
      </c>
      <c r="AE44" s="15">
        <v>27</v>
      </c>
      <c r="AF44" s="15">
        <v>28</v>
      </c>
      <c r="AG44" s="15">
        <v>29</v>
      </c>
      <c r="AH44" s="15">
        <v>30</v>
      </c>
      <c r="AI44" s="134"/>
      <c r="AJ44" s="19"/>
    </row>
    <row r="45" spans="1:40" s="141" customFormat="1" x14ac:dyDescent="0.2">
      <c r="A45" s="153">
        <v>1</v>
      </c>
      <c r="B45" s="139" t="s">
        <v>90</v>
      </c>
      <c r="C45" s="139" t="e">
        <f>VLOOKUP(B45,[1]Worksheet!$B$6:$C$153,2,0)</f>
        <v>#N/A</v>
      </c>
      <c r="D45" s="139" t="s">
        <v>222</v>
      </c>
      <c r="E45" s="138">
        <v>1.5</v>
      </c>
      <c r="F45" s="138">
        <v>2</v>
      </c>
      <c r="G45" s="138">
        <v>1</v>
      </c>
      <c r="H45" s="138">
        <v>1</v>
      </c>
      <c r="I45" s="138">
        <v>1</v>
      </c>
      <c r="J45" s="138">
        <v>2</v>
      </c>
      <c r="K45" s="138">
        <v>1</v>
      </c>
      <c r="L45" s="138">
        <v>1</v>
      </c>
      <c r="M45" s="138">
        <v>1</v>
      </c>
      <c r="N45" s="138">
        <v>2</v>
      </c>
      <c r="O45" s="138">
        <v>2</v>
      </c>
      <c r="P45" s="138">
        <v>1</v>
      </c>
      <c r="Q45" s="138">
        <v>1</v>
      </c>
      <c r="R45" s="138">
        <v>1</v>
      </c>
      <c r="S45" s="138">
        <v>1</v>
      </c>
      <c r="T45" s="138">
        <v>1</v>
      </c>
      <c r="U45" s="138">
        <v>2</v>
      </c>
      <c r="V45" s="138">
        <v>2</v>
      </c>
      <c r="W45" s="138">
        <v>2</v>
      </c>
      <c r="X45" s="138">
        <v>1</v>
      </c>
      <c r="Y45" s="138">
        <v>1</v>
      </c>
      <c r="Z45" s="138"/>
      <c r="AA45" s="138"/>
      <c r="AB45" s="138"/>
      <c r="AC45" s="138"/>
      <c r="AD45" s="138"/>
      <c r="AE45" s="138"/>
      <c r="AF45" s="138"/>
      <c r="AG45" s="138"/>
      <c r="AH45" s="138"/>
      <c r="AI45" s="140">
        <f>SUM(E45:AH45)</f>
        <v>28.5</v>
      </c>
      <c r="AJ45" s="142"/>
    </row>
    <row r="46" spans="1:40" s="158" customFormat="1" x14ac:dyDescent="0.2">
      <c r="A46" s="154">
        <v>2</v>
      </c>
      <c r="B46" s="155" t="s">
        <v>91</v>
      </c>
      <c r="C46" s="155" t="str">
        <f>VLOOKUP(B46,[1]Worksheet!$B$6:$C$153,2,0)</f>
        <v>SSI024</v>
      </c>
      <c r="D46" s="155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>
        <v>1</v>
      </c>
      <c r="AB46" s="56">
        <v>1</v>
      </c>
      <c r="AC46" s="56">
        <v>1</v>
      </c>
      <c r="AD46" s="56">
        <v>1.5</v>
      </c>
      <c r="AE46" s="56">
        <v>1</v>
      </c>
      <c r="AF46" s="56"/>
      <c r="AG46" s="56"/>
      <c r="AH46" s="56"/>
      <c r="AI46" s="156">
        <f t="shared" ref="AI46:AI51" si="2">SUM(E46:AH46)</f>
        <v>5.5</v>
      </c>
      <c r="AJ46" s="157" t="s">
        <v>20</v>
      </c>
    </row>
    <row r="47" spans="1:40" s="141" customFormat="1" x14ac:dyDescent="0.2">
      <c r="A47" s="153">
        <v>3</v>
      </c>
      <c r="B47" s="139" t="s">
        <v>172</v>
      </c>
      <c r="C47" s="139" t="str">
        <f>VLOOKUP(B47,[1]Worksheet!$B$6:$C$153,2,0)</f>
        <v>SSI025</v>
      </c>
      <c r="D47" s="139"/>
      <c r="E47" s="138">
        <v>1</v>
      </c>
      <c r="F47" s="138"/>
      <c r="G47" s="138">
        <v>1</v>
      </c>
      <c r="H47" s="138">
        <v>2</v>
      </c>
      <c r="I47" s="138">
        <v>2</v>
      </c>
      <c r="J47" s="138">
        <v>2</v>
      </c>
      <c r="K47" s="138">
        <v>1</v>
      </c>
      <c r="L47" s="138">
        <v>1</v>
      </c>
      <c r="M47" s="138">
        <v>1</v>
      </c>
      <c r="N47" s="138">
        <v>1</v>
      </c>
      <c r="O47" s="138"/>
      <c r="P47" s="138"/>
      <c r="Q47" s="138">
        <v>1</v>
      </c>
      <c r="R47" s="138"/>
      <c r="S47" s="138"/>
      <c r="T47" s="138">
        <v>1</v>
      </c>
      <c r="U47" s="138">
        <v>1</v>
      </c>
      <c r="V47" s="138">
        <v>2</v>
      </c>
      <c r="W47" s="138">
        <v>1.5</v>
      </c>
      <c r="X47" s="138">
        <v>2</v>
      </c>
      <c r="Y47" s="138">
        <v>2</v>
      </c>
      <c r="Z47" s="138">
        <v>1</v>
      </c>
      <c r="AA47" s="138">
        <v>2</v>
      </c>
      <c r="AB47" s="159">
        <v>1</v>
      </c>
      <c r="AC47" s="159">
        <v>2</v>
      </c>
      <c r="AD47" s="159">
        <v>1</v>
      </c>
      <c r="AE47" s="149">
        <v>1</v>
      </c>
      <c r="AF47" s="138">
        <v>1.5</v>
      </c>
      <c r="AG47" s="138">
        <v>1.5</v>
      </c>
      <c r="AH47" s="138">
        <v>1</v>
      </c>
      <c r="AI47" s="140">
        <f t="shared" si="2"/>
        <v>34.5</v>
      </c>
      <c r="AJ47" s="142"/>
    </row>
    <row r="48" spans="1:40" s="141" customFormat="1" x14ac:dyDescent="0.2">
      <c r="A48" s="153">
        <v>4</v>
      </c>
      <c r="B48" s="139" t="s">
        <v>92</v>
      </c>
      <c r="C48" s="139" t="str">
        <f>VLOOKUP(B48,[1]Worksheet!$B$6:$C$153,2,0)</f>
        <v>SSI026</v>
      </c>
      <c r="D48" s="139"/>
      <c r="E48" s="138">
        <v>1</v>
      </c>
      <c r="F48" s="138">
        <v>1</v>
      </c>
      <c r="G48" s="138">
        <v>1</v>
      </c>
      <c r="H48" s="138">
        <v>1</v>
      </c>
      <c r="I48" s="138">
        <v>1</v>
      </c>
      <c r="J48" s="138">
        <v>1</v>
      </c>
      <c r="K48" s="138">
        <v>1</v>
      </c>
      <c r="L48" s="138">
        <v>1</v>
      </c>
      <c r="M48" s="138">
        <v>1</v>
      </c>
      <c r="N48" s="138"/>
      <c r="O48" s="138">
        <v>1</v>
      </c>
      <c r="P48" s="138">
        <v>1</v>
      </c>
      <c r="Q48" s="138">
        <v>1</v>
      </c>
      <c r="R48" s="138">
        <v>2</v>
      </c>
      <c r="S48" s="138">
        <v>1</v>
      </c>
      <c r="T48" s="138">
        <v>1</v>
      </c>
      <c r="U48" s="138">
        <v>1</v>
      </c>
      <c r="V48" s="138">
        <v>1</v>
      </c>
      <c r="W48" s="138">
        <v>1</v>
      </c>
      <c r="X48" s="138">
        <v>2</v>
      </c>
      <c r="Y48" s="138">
        <v>2</v>
      </c>
      <c r="Z48" s="138">
        <v>1</v>
      </c>
      <c r="AA48" s="138">
        <v>2</v>
      </c>
      <c r="AB48" s="160">
        <v>1</v>
      </c>
      <c r="AC48" s="160">
        <v>2</v>
      </c>
      <c r="AD48" s="160">
        <v>1</v>
      </c>
      <c r="AE48" s="161">
        <v>2</v>
      </c>
      <c r="AF48" s="161">
        <v>1</v>
      </c>
      <c r="AG48" s="161">
        <v>2</v>
      </c>
      <c r="AH48" s="161">
        <v>1</v>
      </c>
      <c r="AI48" s="140">
        <f t="shared" si="2"/>
        <v>36</v>
      </c>
      <c r="AJ48" s="162"/>
    </row>
    <row r="49" spans="1:42" s="141" customFormat="1" x14ac:dyDescent="0.2">
      <c r="A49" s="153">
        <v>5</v>
      </c>
      <c r="B49" s="139" t="s">
        <v>93</v>
      </c>
      <c r="C49" s="139" t="str">
        <f>VLOOKUP(B49,[1]Worksheet!$B$6:$C$153,2,0)</f>
        <v>SSI027</v>
      </c>
      <c r="D49" s="139" t="s">
        <v>222</v>
      </c>
      <c r="E49" s="138">
        <v>2</v>
      </c>
      <c r="F49" s="138">
        <v>1</v>
      </c>
      <c r="G49" s="138">
        <v>1</v>
      </c>
      <c r="H49" s="138">
        <v>1</v>
      </c>
      <c r="I49" s="138"/>
      <c r="J49" s="138"/>
      <c r="K49" s="138">
        <v>1</v>
      </c>
      <c r="L49" s="138">
        <v>1</v>
      </c>
      <c r="M49" s="138">
        <v>1</v>
      </c>
      <c r="N49" s="138">
        <v>1</v>
      </c>
      <c r="O49" s="138">
        <v>1</v>
      </c>
      <c r="P49" s="138">
        <v>1</v>
      </c>
      <c r="Q49" s="138">
        <v>1</v>
      </c>
      <c r="R49" s="138">
        <v>1</v>
      </c>
      <c r="S49" s="138">
        <v>1</v>
      </c>
      <c r="T49" s="138">
        <v>1</v>
      </c>
      <c r="U49" s="138">
        <v>1</v>
      </c>
      <c r="V49" s="138">
        <v>1</v>
      </c>
      <c r="W49" s="138"/>
      <c r="X49" s="138"/>
      <c r="Y49" s="138"/>
      <c r="Z49" s="138"/>
      <c r="AA49" s="138"/>
      <c r="AB49" s="138"/>
      <c r="AC49" s="138"/>
      <c r="AD49" s="138">
        <v>2</v>
      </c>
      <c r="AE49" s="138">
        <v>1</v>
      </c>
      <c r="AF49" s="138">
        <v>2</v>
      </c>
      <c r="AG49" s="138">
        <v>1</v>
      </c>
      <c r="AH49" s="138">
        <v>2</v>
      </c>
      <c r="AI49" s="140">
        <f t="shared" si="2"/>
        <v>25</v>
      </c>
      <c r="AJ49" s="162"/>
    </row>
    <row r="50" spans="1:42" s="141" customFormat="1" ht="15" customHeight="1" x14ac:dyDescent="0.2">
      <c r="A50" s="153">
        <v>6</v>
      </c>
      <c r="B50" s="139" t="s">
        <v>94</v>
      </c>
      <c r="C50" s="139" t="str">
        <f>VLOOKUP(B50,[1]Worksheet!$B$6:$C$153,2,0)</f>
        <v>SSI028</v>
      </c>
      <c r="D50" s="139"/>
      <c r="E50" s="138">
        <v>1</v>
      </c>
      <c r="F50" s="138"/>
      <c r="G50" s="138">
        <v>1</v>
      </c>
      <c r="H50" s="138">
        <v>1</v>
      </c>
      <c r="I50" s="138">
        <v>1</v>
      </c>
      <c r="J50" s="138">
        <v>1</v>
      </c>
      <c r="K50" s="138">
        <v>1</v>
      </c>
      <c r="L50" s="138"/>
      <c r="M50" s="138"/>
      <c r="N50" s="138">
        <v>1</v>
      </c>
      <c r="O50" s="138">
        <v>1</v>
      </c>
      <c r="P50" s="138">
        <v>1</v>
      </c>
      <c r="Q50" s="138">
        <v>1</v>
      </c>
      <c r="R50" s="138">
        <v>1</v>
      </c>
      <c r="S50" s="138">
        <v>1</v>
      </c>
      <c r="T50" s="138"/>
      <c r="U50" s="138">
        <v>1</v>
      </c>
      <c r="V50" s="138">
        <v>1</v>
      </c>
      <c r="W50" s="138">
        <v>1</v>
      </c>
      <c r="X50" s="138"/>
      <c r="Y50" s="138">
        <v>1</v>
      </c>
      <c r="Z50" s="138">
        <v>1</v>
      </c>
      <c r="AA50" s="138"/>
      <c r="AB50" s="138">
        <v>1</v>
      </c>
      <c r="AC50" s="138">
        <v>1</v>
      </c>
      <c r="AD50" s="138">
        <v>1</v>
      </c>
      <c r="AE50" s="138">
        <v>1</v>
      </c>
      <c r="AF50" s="138">
        <v>1</v>
      </c>
      <c r="AG50" s="138">
        <v>1</v>
      </c>
      <c r="AH50" s="138"/>
      <c r="AI50" s="140">
        <f t="shared" si="2"/>
        <v>23</v>
      </c>
      <c r="AJ50" s="162"/>
    </row>
    <row r="51" spans="1:42" ht="15" x14ac:dyDescent="0.25">
      <c r="A51" s="41">
        <v>7</v>
      </c>
      <c r="B51" s="17" t="s">
        <v>95</v>
      </c>
      <c r="C51" s="17" t="str">
        <f>VLOOKUP(B51,[1]Worksheet!$B$6:$C$153,2,0)</f>
        <v>SSI029</v>
      </c>
      <c r="D51" s="17"/>
      <c r="E51" s="43">
        <v>1</v>
      </c>
      <c r="F51" s="16">
        <v>2</v>
      </c>
      <c r="G51" s="16">
        <v>2</v>
      </c>
      <c r="H51" s="16">
        <v>1</v>
      </c>
      <c r="I51" s="16">
        <v>2</v>
      </c>
      <c r="J51" s="16">
        <v>1</v>
      </c>
      <c r="K51" s="16">
        <v>1</v>
      </c>
      <c r="L51" s="16">
        <v>2</v>
      </c>
      <c r="M51" s="16">
        <v>2</v>
      </c>
      <c r="N51" s="16">
        <v>1</v>
      </c>
      <c r="O51" s="43">
        <v>1</v>
      </c>
      <c r="P51" s="16">
        <v>1</v>
      </c>
      <c r="Q51" s="16"/>
      <c r="R51" s="16"/>
      <c r="S51" s="16"/>
      <c r="T51" s="16">
        <v>1</v>
      </c>
      <c r="U51" s="16">
        <v>2</v>
      </c>
      <c r="V51" s="16">
        <v>1</v>
      </c>
      <c r="W51" s="16">
        <v>2</v>
      </c>
      <c r="X51" s="16">
        <v>1</v>
      </c>
      <c r="Y51" s="16">
        <v>1</v>
      </c>
      <c r="Z51" s="16">
        <v>2</v>
      </c>
      <c r="AA51" s="16">
        <v>1</v>
      </c>
      <c r="AB51" s="16">
        <v>2</v>
      </c>
      <c r="AC51" s="16">
        <v>1</v>
      </c>
      <c r="AD51" s="16">
        <v>1</v>
      </c>
      <c r="AE51" s="16">
        <v>2</v>
      </c>
      <c r="AF51" s="16"/>
      <c r="AG51" s="16">
        <v>1</v>
      </c>
      <c r="AH51" s="16"/>
      <c r="AI51" s="20">
        <f t="shared" si="2"/>
        <v>35</v>
      </c>
      <c r="AJ51" s="44"/>
    </row>
    <row r="52" spans="1:42" ht="16.5" customHeight="1" x14ac:dyDescent="0.25">
      <c r="A52" s="41">
        <v>8</v>
      </c>
      <c r="B52" s="17" t="s">
        <v>96</v>
      </c>
      <c r="C52" s="17" t="str">
        <f>VLOOKUP(B52,[1]Worksheet!$B$6:$C$153,2,0)</f>
        <v>SSI030</v>
      </c>
      <c r="D52" s="17"/>
      <c r="E52" s="16">
        <v>1</v>
      </c>
      <c r="F52" s="16">
        <v>1</v>
      </c>
      <c r="G52" s="16">
        <v>2</v>
      </c>
      <c r="H52" s="16">
        <v>2</v>
      </c>
      <c r="I52" s="16"/>
      <c r="J52" s="16"/>
      <c r="K52" s="16">
        <v>1</v>
      </c>
      <c r="L52" s="16">
        <v>1</v>
      </c>
      <c r="M52" s="16"/>
      <c r="N52" s="16">
        <v>2</v>
      </c>
      <c r="O52" s="16">
        <v>1</v>
      </c>
      <c r="P52" s="16">
        <v>1</v>
      </c>
      <c r="Q52" s="16">
        <v>2</v>
      </c>
      <c r="R52" s="16">
        <v>2</v>
      </c>
      <c r="S52" s="16">
        <v>3</v>
      </c>
      <c r="T52" s="16">
        <v>1</v>
      </c>
      <c r="U52" s="16">
        <v>1</v>
      </c>
      <c r="V52" s="16">
        <v>1</v>
      </c>
      <c r="W52" s="16">
        <v>1</v>
      </c>
      <c r="X52" s="16">
        <v>1</v>
      </c>
      <c r="Y52" s="16">
        <v>1</v>
      </c>
      <c r="Z52" s="16">
        <v>2</v>
      </c>
      <c r="AA52" s="16">
        <v>1</v>
      </c>
      <c r="AB52" s="16">
        <v>2</v>
      </c>
      <c r="AC52" s="16">
        <v>1</v>
      </c>
      <c r="AD52" s="16">
        <v>1</v>
      </c>
      <c r="AE52" s="16">
        <v>1</v>
      </c>
      <c r="AF52" s="16">
        <v>2</v>
      </c>
      <c r="AG52" s="16">
        <v>1</v>
      </c>
      <c r="AH52" s="16">
        <v>2</v>
      </c>
      <c r="AI52" s="20">
        <f>SUM(E52:AH52)</f>
        <v>38</v>
      </c>
      <c r="AJ52" s="44"/>
    </row>
    <row r="53" spans="1:42" ht="15" thickBot="1" x14ac:dyDescent="0.25">
      <c r="A53" s="45"/>
      <c r="B53" s="46"/>
      <c r="C53" s="46"/>
      <c r="D53" s="46"/>
      <c r="E53" s="47"/>
      <c r="F53" s="48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9">
        <f>SUM(AI45:AI52)</f>
        <v>225.5</v>
      </c>
      <c r="AJ53" s="19"/>
    </row>
    <row r="54" spans="1:42" x14ac:dyDescent="0.2">
      <c r="A54" s="29"/>
      <c r="B54" s="6"/>
      <c r="C54" s="6"/>
      <c r="D54" s="6"/>
      <c r="E54" s="50"/>
      <c r="F54" s="51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32"/>
      <c r="AJ54" s="19"/>
    </row>
    <row r="55" spans="1:42" x14ac:dyDescent="0.2">
      <c r="A55" s="29"/>
      <c r="B55" s="6"/>
      <c r="C55" s="6"/>
      <c r="D55" s="6"/>
      <c r="E55" s="50"/>
      <c r="F55" s="51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32"/>
      <c r="AJ55" s="19"/>
    </row>
    <row r="56" spans="1:42" x14ac:dyDescent="0.2">
      <c r="E56" s="52"/>
      <c r="F56" s="53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19"/>
    </row>
    <row r="57" spans="1:42" ht="14.25" customHeight="1" x14ac:dyDescent="0.2">
      <c r="A57" s="8" t="s">
        <v>6</v>
      </c>
      <c r="B57" s="33" t="s">
        <v>7</v>
      </c>
      <c r="C57" s="33"/>
      <c r="D57" s="33"/>
      <c r="E57" s="10" t="s">
        <v>8</v>
      </c>
      <c r="F57" s="11" t="s">
        <v>9</v>
      </c>
      <c r="G57" s="10" t="s">
        <v>10</v>
      </c>
      <c r="H57" s="10" t="s">
        <v>11</v>
      </c>
      <c r="I57" s="10" t="s">
        <v>12</v>
      </c>
      <c r="J57" s="10" t="s">
        <v>13</v>
      </c>
      <c r="K57" s="12" t="s">
        <v>14</v>
      </c>
      <c r="L57" s="10" t="s">
        <v>8</v>
      </c>
      <c r="M57" s="11" t="s">
        <v>9</v>
      </c>
      <c r="N57" s="10" t="s">
        <v>10</v>
      </c>
      <c r="O57" s="10" t="s">
        <v>11</v>
      </c>
      <c r="P57" s="10" t="s">
        <v>12</v>
      </c>
      <c r="Q57" s="10" t="s">
        <v>13</v>
      </c>
      <c r="R57" s="12" t="s">
        <v>14</v>
      </c>
      <c r="S57" s="10" t="s">
        <v>8</v>
      </c>
      <c r="T57" s="11" t="s">
        <v>9</v>
      </c>
      <c r="U57" s="10" t="s">
        <v>10</v>
      </c>
      <c r="V57" s="10" t="s">
        <v>11</v>
      </c>
      <c r="W57" s="10" t="s">
        <v>12</v>
      </c>
      <c r="X57" s="10" t="s">
        <v>13</v>
      </c>
      <c r="Y57" s="12" t="s">
        <v>14</v>
      </c>
      <c r="Z57" s="10" t="s">
        <v>8</v>
      </c>
      <c r="AA57" s="11" t="s">
        <v>9</v>
      </c>
      <c r="AB57" s="10" t="s">
        <v>10</v>
      </c>
      <c r="AC57" s="10" t="s">
        <v>11</v>
      </c>
      <c r="AD57" s="10" t="s">
        <v>12</v>
      </c>
      <c r="AE57" s="10" t="s">
        <v>13</v>
      </c>
      <c r="AF57" s="12" t="s">
        <v>14</v>
      </c>
      <c r="AG57" s="10" t="s">
        <v>8</v>
      </c>
      <c r="AH57" s="11" t="s">
        <v>9</v>
      </c>
      <c r="AI57" s="133" t="s">
        <v>15</v>
      </c>
      <c r="AJ57" s="4" t="s">
        <v>21</v>
      </c>
    </row>
    <row r="58" spans="1:42" ht="14.25" customHeight="1" x14ac:dyDescent="0.25">
      <c r="A58" s="8"/>
      <c r="B58" s="34" t="s">
        <v>22</v>
      </c>
      <c r="C58" s="34"/>
      <c r="D58" s="34"/>
      <c r="E58" s="15">
        <v>1</v>
      </c>
      <c r="F58" s="15">
        <v>2</v>
      </c>
      <c r="G58" s="15">
        <v>3</v>
      </c>
      <c r="H58" s="15">
        <v>4</v>
      </c>
      <c r="I58" s="15">
        <v>5</v>
      </c>
      <c r="J58" s="15">
        <v>6</v>
      </c>
      <c r="K58" s="15">
        <v>7</v>
      </c>
      <c r="L58" s="15">
        <v>8</v>
      </c>
      <c r="M58" s="15">
        <v>9</v>
      </c>
      <c r="N58" s="15">
        <v>10</v>
      </c>
      <c r="O58" s="15">
        <v>11</v>
      </c>
      <c r="P58" s="15">
        <v>12</v>
      </c>
      <c r="Q58" s="15">
        <v>13</v>
      </c>
      <c r="R58" s="15">
        <v>14</v>
      </c>
      <c r="S58" s="15">
        <v>15</v>
      </c>
      <c r="T58" s="15">
        <v>16</v>
      </c>
      <c r="U58" s="15">
        <v>17</v>
      </c>
      <c r="V58" s="15">
        <v>18</v>
      </c>
      <c r="W58" s="15">
        <v>19</v>
      </c>
      <c r="X58" s="15">
        <v>20</v>
      </c>
      <c r="Y58" s="15">
        <v>21</v>
      </c>
      <c r="Z58" s="15">
        <v>22</v>
      </c>
      <c r="AA58" s="15">
        <v>23</v>
      </c>
      <c r="AB58" s="15">
        <v>24</v>
      </c>
      <c r="AC58" s="15">
        <v>25</v>
      </c>
      <c r="AD58" s="15">
        <v>26</v>
      </c>
      <c r="AE58" s="15">
        <v>27</v>
      </c>
      <c r="AF58" s="15">
        <v>28</v>
      </c>
      <c r="AG58" s="15">
        <v>29</v>
      </c>
      <c r="AH58" s="15">
        <v>30</v>
      </c>
      <c r="AI58" s="134"/>
    </row>
    <row r="59" spans="1:42" s="58" customFormat="1" x14ac:dyDescent="0.2">
      <c r="A59" s="54">
        <v>1</v>
      </c>
      <c r="B59" s="55" t="s">
        <v>97</v>
      </c>
      <c r="C59" s="55" t="str">
        <f>VLOOKUP(B59,[1]Worksheet!$B$6:$C$153,2,0)</f>
        <v>SSI031</v>
      </c>
      <c r="D59" s="55"/>
      <c r="E59" s="16"/>
      <c r="F59" s="16">
        <v>1</v>
      </c>
      <c r="G59" s="16">
        <v>1</v>
      </c>
      <c r="H59" s="16">
        <v>1</v>
      </c>
      <c r="I59" s="56">
        <v>1</v>
      </c>
      <c r="J59" s="16">
        <v>1</v>
      </c>
      <c r="K59" s="16">
        <v>1</v>
      </c>
      <c r="L59" s="16">
        <v>1</v>
      </c>
      <c r="M59" s="16">
        <v>1</v>
      </c>
      <c r="N59" s="16">
        <v>1</v>
      </c>
      <c r="O59" s="16">
        <v>1</v>
      </c>
      <c r="P59" s="16"/>
      <c r="Q59" s="16"/>
      <c r="R59" s="16"/>
      <c r="S59" s="16">
        <v>1</v>
      </c>
      <c r="T59" s="16">
        <v>1</v>
      </c>
      <c r="U59" s="16">
        <v>1</v>
      </c>
      <c r="V59" s="16">
        <v>1</v>
      </c>
      <c r="W59" s="16"/>
      <c r="X59" s="16">
        <v>1</v>
      </c>
      <c r="Y59" s="16">
        <v>1</v>
      </c>
      <c r="Z59" s="3">
        <v>1</v>
      </c>
      <c r="AA59" s="16">
        <v>1</v>
      </c>
      <c r="AB59" s="16"/>
      <c r="AC59" s="16">
        <v>1</v>
      </c>
      <c r="AD59" s="16"/>
      <c r="AE59" s="16">
        <v>1</v>
      </c>
      <c r="AF59" s="16">
        <v>1</v>
      </c>
      <c r="AG59" s="16">
        <v>1</v>
      </c>
      <c r="AH59" s="16">
        <v>1</v>
      </c>
      <c r="AI59" s="57">
        <f>SUM(E59:AH59)</f>
        <v>23</v>
      </c>
      <c r="AJ59" s="42" t="s">
        <v>23</v>
      </c>
      <c r="AP59" s="58" t="s">
        <v>24</v>
      </c>
    </row>
    <row r="60" spans="1:42" ht="13.5" customHeight="1" x14ac:dyDescent="0.2">
      <c r="A60" s="54">
        <v>2</v>
      </c>
      <c r="B60" s="131" t="s">
        <v>202</v>
      </c>
      <c r="C60" s="55" t="str">
        <f>VLOOKUP(B60,[1]Worksheet!$B$6:$C$153,2,0)</f>
        <v>SSI032</v>
      </c>
      <c r="D60" s="17"/>
      <c r="E60" s="16">
        <v>1</v>
      </c>
      <c r="F60" s="16">
        <v>1</v>
      </c>
      <c r="G60" s="16">
        <v>1</v>
      </c>
      <c r="H60" s="16">
        <v>1</v>
      </c>
      <c r="I60" s="56">
        <v>1</v>
      </c>
      <c r="J60" s="16">
        <v>1</v>
      </c>
      <c r="K60" s="16">
        <v>1</v>
      </c>
      <c r="L60" s="16">
        <v>1</v>
      </c>
      <c r="M60" s="16">
        <v>1</v>
      </c>
      <c r="N60" s="16">
        <v>1</v>
      </c>
      <c r="O60" s="16">
        <v>1</v>
      </c>
      <c r="P60" s="56">
        <v>1</v>
      </c>
      <c r="Q60" s="16">
        <v>1</v>
      </c>
      <c r="R60" s="16">
        <v>1</v>
      </c>
      <c r="S60" s="16">
        <v>1</v>
      </c>
      <c r="T60" s="16">
        <v>1</v>
      </c>
      <c r="U60" s="16">
        <v>1</v>
      </c>
      <c r="V60" s="16">
        <v>1</v>
      </c>
      <c r="W60" s="56">
        <v>1</v>
      </c>
      <c r="X60" s="16">
        <v>1</v>
      </c>
      <c r="Y60" s="16">
        <v>1</v>
      </c>
      <c r="Z60" s="16">
        <v>1</v>
      </c>
      <c r="AA60" s="16">
        <v>1</v>
      </c>
      <c r="AB60" s="16">
        <v>1</v>
      </c>
      <c r="AC60" s="16">
        <v>1</v>
      </c>
      <c r="AD60" s="56">
        <v>1</v>
      </c>
      <c r="AE60" s="16">
        <v>1</v>
      </c>
      <c r="AF60" s="16">
        <v>1</v>
      </c>
      <c r="AG60" s="16">
        <v>1</v>
      </c>
      <c r="AH60" s="16">
        <v>1</v>
      </c>
      <c r="AI60" s="57">
        <f t="shared" ref="AI60:AI85" si="3">SUM(E60:AH60)</f>
        <v>30</v>
      </c>
      <c r="AJ60" s="59" t="s">
        <v>25</v>
      </c>
    </row>
    <row r="61" spans="1:42" s="58" customFormat="1" ht="14.25" customHeight="1" x14ac:dyDescent="0.2">
      <c r="A61" s="54">
        <v>3</v>
      </c>
      <c r="B61" s="55" t="s">
        <v>98</v>
      </c>
      <c r="C61" s="55" t="str">
        <f>VLOOKUP(B61,[1]Worksheet!$B$6:$C$153,2,0)</f>
        <v>SSI033</v>
      </c>
      <c r="D61" s="55"/>
      <c r="E61" s="16">
        <v>1</v>
      </c>
      <c r="F61" s="56">
        <v>1</v>
      </c>
      <c r="G61" s="16">
        <v>1</v>
      </c>
      <c r="H61" s="16">
        <v>1</v>
      </c>
      <c r="I61" s="16">
        <v>1</v>
      </c>
      <c r="J61" s="16">
        <v>1</v>
      </c>
      <c r="K61" s="16">
        <v>1</v>
      </c>
      <c r="L61" s="16">
        <v>1</v>
      </c>
      <c r="M61" s="16">
        <v>1</v>
      </c>
      <c r="N61" s="16">
        <v>1</v>
      </c>
      <c r="O61" s="16">
        <v>1</v>
      </c>
      <c r="P61" s="16">
        <v>1</v>
      </c>
      <c r="Q61" s="16">
        <v>1</v>
      </c>
      <c r="R61" s="16">
        <v>1</v>
      </c>
      <c r="S61" s="16">
        <v>1</v>
      </c>
      <c r="T61" s="56">
        <v>1</v>
      </c>
      <c r="U61" s="16">
        <v>1</v>
      </c>
      <c r="V61" s="16">
        <v>1</v>
      </c>
      <c r="W61" s="16">
        <v>1</v>
      </c>
      <c r="X61" s="16">
        <v>1</v>
      </c>
      <c r="Y61" s="16">
        <v>1</v>
      </c>
      <c r="Z61" s="16">
        <v>1</v>
      </c>
      <c r="AA61" s="56">
        <v>1</v>
      </c>
      <c r="AB61" s="16">
        <v>1</v>
      </c>
      <c r="AC61" s="16">
        <v>1</v>
      </c>
      <c r="AD61" s="16">
        <v>1</v>
      </c>
      <c r="AE61" s="16">
        <v>1</v>
      </c>
      <c r="AF61" s="16">
        <v>1</v>
      </c>
      <c r="AG61" s="16">
        <v>1</v>
      </c>
      <c r="AH61" s="16">
        <v>1</v>
      </c>
      <c r="AI61" s="57">
        <f t="shared" si="3"/>
        <v>30</v>
      </c>
      <c r="AJ61" s="58" t="s">
        <v>26</v>
      </c>
    </row>
    <row r="62" spans="1:42" x14ac:dyDescent="0.2">
      <c r="A62" s="54">
        <v>4</v>
      </c>
      <c r="B62" s="17" t="s">
        <v>99</v>
      </c>
      <c r="C62" s="55" t="str">
        <f>VLOOKUP(B62,[1]Worksheet!$B$6:$C$153,2,0)</f>
        <v>SSI034</v>
      </c>
      <c r="D62" s="17"/>
      <c r="E62" s="16">
        <v>1</v>
      </c>
      <c r="F62" s="16">
        <v>1</v>
      </c>
      <c r="G62" s="16">
        <v>1</v>
      </c>
      <c r="H62" s="16">
        <v>1</v>
      </c>
      <c r="I62" s="16">
        <v>1</v>
      </c>
      <c r="J62" s="16">
        <v>1</v>
      </c>
      <c r="K62" s="56">
        <v>1</v>
      </c>
      <c r="L62" s="16">
        <v>1</v>
      </c>
      <c r="M62" s="16">
        <v>1</v>
      </c>
      <c r="N62" s="16">
        <v>1</v>
      </c>
      <c r="O62" s="16">
        <v>1</v>
      </c>
      <c r="P62" s="16">
        <v>1</v>
      </c>
      <c r="Q62" s="16">
        <v>1</v>
      </c>
      <c r="R62" s="56">
        <v>1</v>
      </c>
      <c r="S62" s="16">
        <v>1</v>
      </c>
      <c r="T62" s="16">
        <v>1</v>
      </c>
      <c r="U62" s="16">
        <v>1</v>
      </c>
      <c r="V62" s="16">
        <v>1</v>
      </c>
      <c r="W62" s="16">
        <v>1</v>
      </c>
      <c r="X62" s="16">
        <v>1</v>
      </c>
      <c r="Y62" s="56">
        <v>1</v>
      </c>
      <c r="Z62" s="16">
        <v>1</v>
      </c>
      <c r="AA62" s="16">
        <v>1</v>
      </c>
      <c r="AB62" s="16">
        <v>1</v>
      </c>
      <c r="AC62" s="16">
        <v>1</v>
      </c>
      <c r="AD62" s="16">
        <v>1</v>
      </c>
      <c r="AE62" s="16">
        <v>1</v>
      </c>
      <c r="AF62" s="16">
        <v>1</v>
      </c>
      <c r="AG62" s="16">
        <v>1</v>
      </c>
      <c r="AH62" s="16">
        <v>1</v>
      </c>
      <c r="AI62" s="57">
        <f t="shared" si="3"/>
        <v>30</v>
      </c>
      <c r="AJ62" s="19" t="s">
        <v>27</v>
      </c>
    </row>
    <row r="63" spans="1:42" x14ac:dyDescent="0.2">
      <c r="A63" s="54">
        <v>5</v>
      </c>
      <c r="B63" s="17" t="s">
        <v>100</v>
      </c>
      <c r="C63" s="55" t="str">
        <f>VLOOKUP(B63,[1]Worksheet!$B$6:$C$153,2,0)</f>
        <v>SSI035</v>
      </c>
      <c r="D63" s="17"/>
      <c r="E63" s="16">
        <v>1</v>
      </c>
      <c r="F63" s="16">
        <v>1</v>
      </c>
      <c r="G63" s="16"/>
      <c r="H63" s="16"/>
      <c r="I63" s="16">
        <v>1</v>
      </c>
      <c r="J63" s="16">
        <v>1</v>
      </c>
      <c r="K63" s="56">
        <v>1</v>
      </c>
      <c r="L63" s="16">
        <v>1</v>
      </c>
      <c r="M63" s="16">
        <v>1</v>
      </c>
      <c r="N63" s="16">
        <v>1</v>
      </c>
      <c r="O63" s="16">
        <v>1</v>
      </c>
      <c r="P63" s="16">
        <v>1</v>
      </c>
      <c r="Q63" s="16">
        <v>1</v>
      </c>
      <c r="R63" s="56">
        <v>1</v>
      </c>
      <c r="S63" s="16">
        <v>1</v>
      </c>
      <c r="T63" s="16">
        <v>1</v>
      </c>
      <c r="U63" s="16"/>
      <c r="V63" s="16">
        <v>1</v>
      </c>
      <c r="W63" s="16">
        <v>1</v>
      </c>
      <c r="X63" s="16">
        <v>1</v>
      </c>
      <c r="Y63" s="56">
        <v>1</v>
      </c>
      <c r="Z63" s="16">
        <v>1</v>
      </c>
      <c r="AA63" s="16">
        <v>1</v>
      </c>
      <c r="AB63" s="16">
        <v>1</v>
      </c>
      <c r="AC63" s="16">
        <v>1</v>
      </c>
      <c r="AD63" s="16">
        <v>1</v>
      </c>
      <c r="AE63" s="16">
        <v>1</v>
      </c>
      <c r="AF63" s="16"/>
      <c r="AG63" s="16">
        <v>1</v>
      </c>
      <c r="AH63" s="16">
        <v>1</v>
      </c>
      <c r="AI63" s="57">
        <f t="shared" si="3"/>
        <v>26</v>
      </c>
      <c r="AJ63" s="19" t="s">
        <v>27</v>
      </c>
    </row>
    <row r="64" spans="1:42" x14ac:dyDescent="0.2">
      <c r="A64" s="54">
        <v>6</v>
      </c>
      <c r="B64" s="17" t="s">
        <v>101</v>
      </c>
      <c r="C64" s="55" t="str">
        <f>VLOOKUP(B64,[1]Worksheet!$B$6:$C$153,2,0)</f>
        <v>SSI036</v>
      </c>
      <c r="D64" s="17"/>
      <c r="E64" s="16">
        <v>1</v>
      </c>
      <c r="F64" s="16">
        <v>1</v>
      </c>
      <c r="G64" s="16">
        <v>1</v>
      </c>
      <c r="H64" s="16">
        <v>1</v>
      </c>
      <c r="I64" s="16">
        <v>1</v>
      </c>
      <c r="J64" s="16">
        <v>1</v>
      </c>
      <c r="K64" s="56">
        <v>1</v>
      </c>
      <c r="L64" s="16">
        <v>1</v>
      </c>
      <c r="M64" s="16">
        <v>1</v>
      </c>
      <c r="N64" s="16">
        <v>1</v>
      </c>
      <c r="O64" s="16">
        <v>1</v>
      </c>
      <c r="P64" s="56">
        <v>1</v>
      </c>
      <c r="Q64" s="16">
        <v>1</v>
      </c>
      <c r="R64" s="16">
        <v>1</v>
      </c>
      <c r="S64" s="16">
        <v>1</v>
      </c>
      <c r="T64" s="16">
        <v>1</v>
      </c>
      <c r="U64" s="16">
        <v>1</v>
      </c>
      <c r="V64" s="16">
        <v>1</v>
      </c>
      <c r="W64" s="56">
        <v>1</v>
      </c>
      <c r="X64" s="16">
        <v>1</v>
      </c>
      <c r="Y64" s="16">
        <v>1</v>
      </c>
      <c r="Z64" s="16">
        <v>1</v>
      </c>
      <c r="AA64" s="16">
        <v>1</v>
      </c>
      <c r="AB64" s="16">
        <v>1</v>
      </c>
      <c r="AC64" s="16">
        <v>1</v>
      </c>
      <c r="AD64" s="56">
        <v>1</v>
      </c>
      <c r="AE64" s="16">
        <v>1</v>
      </c>
      <c r="AF64" s="16">
        <v>1</v>
      </c>
      <c r="AG64" s="16">
        <v>1</v>
      </c>
      <c r="AH64" s="16">
        <v>1</v>
      </c>
      <c r="AI64" s="57">
        <f t="shared" si="3"/>
        <v>30</v>
      </c>
      <c r="AJ64" s="19" t="s">
        <v>25</v>
      </c>
    </row>
    <row r="65" spans="1:56" x14ac:dyDescent="0.2">
      <c r="A65" s="54">
        <v>8</v>
      </c>
      <c r="B65" s="17" t="s">
        <v>102</v>
      </c>
      <c r="C65" s="55" t="str">
        <f>VLOOKUP(B65,[1]Worksheet!$B$6:$C$153,2,0)</f>
        <v>SSI038</v>
      </c>
      <c r="D65" s="17"/>
      <c r="E65" s="16">
        <v>1</v>
      </c>
      <c r="F65" s="16">
        <v>1</v>
      </c>
      <c r="G65" s="16">
        <v>1</v>
      </c>
      <c r="H65" s="16">
        <v>1</v>
      </c>
      <c r="I65" s="16">
        <v>1</v>
      </c>
      <c r="J65" s="16"/>
      <c r="K65" s="56">
        <v>1</v>
      </c>
      <c r="L65" s="16">
        <v>1</v>
      </c>
      <c r="M65" s="16">
        <v>1</v>
      </c>
      <c r="N65" s="16">
        <v>1</v>
      </c>
      <c r="O65" s="16">
        <v>1</v>
      </c>
      <c r="P65" s="16">
        <v>1</v>
      </c>
      <c r="Q65" s="16">
        <v>1</v>
      </c>
      <c r="R65" s="56">
        <v>1</v>
      </c>
      <c r="S65" s="16">
        <v>1</v>
      </c>
      <c r="T65" s="16">
        <v>1</v>
      </c>
      <c r="U65" s="16">
        <v>1</v>
      </c>
      <c r="V65" s="16"/>
      <c r="W65" s="16"/>
      <c r="X65" s="16"/>
      <c r="Y65" s="56">
        <v>1</v>
      </c>
      <c r="Z65" s="16">
        <v>1</v>
      </c>
      <c r="AA65" s="16">
        <v>1</v>
      </c>
      <c r="AB65" s="16">
        <v>1</v>
      </c>
      <c r="AC65" s="16">
        <v>1</v>
      </c>
      <c r="AD65" s="16">
        <v>1</v>
      </c>
      <c r="AE65" s="16">
        <v>1</v>
      </c>
      <c r="AF65" s="16">
        <v>1</v>
      </c>
      <c r="AG65" s="16">
        <v>1</v>
      </c>
      <c r="AH65" s="16">
        <v>1</v>
      </c>
      <c r="AI65" s="57">
        <f t="shared" si="3"/>
        <v>26</v>
      </c>
      <c r="AJ65" s="19" t="s">
        <v>27</v>
      </c>
    </row>
    <row r="66" spans="1:56" x14ac:dyDescent="0.2">
      <c r="A66" s="54">
        <v>9</v>
      </c>
      <c r="B66" s="17" t="s">
        <v>103</v>
      </c>
      <c r="C66" s="55" t="str">
        <f>VLOOKUP(B66,[1]Worksheet!$B$6:$C$153,2,0)</f>
        <v>SSI039</v>
      </c>
      <c r="D66" s="17"/>
      <c r="E66" s="16">
        <v>1</v>
      </c>
      <c r="F66" s="56">
        <v>3</v>
      </c>
      <c r="G66" s="16"/>
      <c r="H66" s="16">
        <v>1</v>
      </c>
      <c r="I66" s="16">
        <v>1</v>
      </c>
      <c r="J66" s="16">
        <v>1</v>
      </c>
      <c r="K66" s="56">
        <v>1</v>
      </c>
      <c r="L66" s="16">
        <v>1</v>
      </c>
      <c r="M66" s="16">
        <v>1</v>
      </c>
      <c r="N66" s="16"/>
      <c r="O66" s="16">
        <v>1</v>
      </c>
      <c r="P66" s="16">
        <v>1</v>
      </c>
      <c r="Q66" s="16">
        <v>1</v>
      </c>
      <c r="R66" s="16"/>
      <c r="S66" s="16">
        <v>1</v>
      </c>
      <c r="T66" s="16">
        <v>1</v>
      </c>
      <c r="U66" s="16">
        <v>1</v>
      </c>
      <c r="V66" s="56">
        <v>2</v>
      </c>
      <c r="W66" s="16">
        <v>1</v>
      </c>
      <c r="X66" s="16">
        <v>1</v>
      </c>
      <c r="Y66" s="16">
        <v>1</v>
      </c>
      <c r="Z66" s="16">
        <v>1</v>
      </c>
      <c r="AA66" s="16"/>
      <c r="AB66" s="16">
        <v>1</v>
      </c>
      <c r="AC66" s="16">
        <v>1</v>
      </c>
      <c r="AD66" s="16">
        <v>1</v>
      </c>
      <c r="AE66" s="16">
        <v>1</v>
      </c>
      <c r="AF66" s="16">
        <v>1</v>
      </c>
      <c r="AG66" s="16">
        <v>1</v>
      </c>
      <c r="AH66" s="16"/>
      <c r="AI66" s="57">
        <f t="shared" si="3"/>
        <v>28</v>
      </c>
      <c r="AJ66" s="19" t="s">
        <v>27</v>
      </c>
    </row>
    <row r="67" spans="1:56" x14ac:dyDescent="0.2">
      <c r="A67" s="54">
        <v>10</v>
      </c>
      <c r="B67" s="17" t="s">
        <v>104</v>
      </c>
      <c r="C67" s="55" t="str">
        <f>VLOOKUP(B67,[1]Worksheet!$B$6:$C$153,2,0)</f>
        <v>SSI040</v>
      </c>
      <c r="D67" s="17"/>
      <c r="E67" s="16">
        <v>1</v>
      </c>
      <c r="F67" s="56">
        <v>1</v>
      </c>
      <c r="G67" s="16">
        <v>1</v>
      </c>
      <c r="H67" s="16">
        <v>1</v>
      </c>
      <c r="I67" s="16">
        <v>1</v>
      </c>
      <c r="J67" s="56">
        <v>2</v>
      </c>
      <c r="K67" s="16">
        <v>1</v>
      </c>
      <c r="L67" s="16">
        <v>1</v>
      </c>
      <c r="M67" s="16"/>
      <c r="N67" s="16">
        <v>1</v>
      </c>
      <c r="O67" s="16">
        <v>1</v>
      </c>
      <c r="P67" s="16">
        <v>1</v>
      </c>
      <c r="Q67" s="56">
        <v>2</v>
      </c>
      <c r="R67" s="16">
        <v>1</v>
      </c>
      <c r="S67" s="16">
        <v>1</v>
      </c>
      <c r="T67" s="56">
        <v>1</v>
      </c>
      <c r="U67" s="16">
        <v>1</v>
      </c>
      <c r="V67" s="16">
        <v>1</v>
      </c>
      <c r="W67" s="56">
        <v>2</v>
      </c>
      <c r="X67" s="16">
        <v>1</v>
      </c>
      <c r="Y67" s="56">
        <v>2</v>
      </c>
      <c r="Z67" s="16">
        <v>1</v>
      </c>
      <c r="AA67" s="56">
        <v>1</v>
      </c>
      <c r="AB67" s="16">
        <v>1</v>
      </c>
      <c r="AC67" s="16">
        <v>1</v>
      </c>
      <c r="AD67" s="56">
        <v>2</v>
      </c>
      <c r="AE67" s="16">
        <v>1</v>
      </c>
      <c r="AF67" s="16">
        <v>1</v>
      </c>
      <c r="AG67" s="16">
        <v>1</v>
      </c>
      <c r="AH67" s="16">
        <v>1</v>
      </c>
      <c r="AI67" s="57">
        <f t="shared" si="3"/>
        <v>34</v>
      </c>
      <c r="AJ67" s="19" t="s">
        <v>26</v>
      </c>
    </row>
    <row r="68" spans="1:56" x14ac:dyDescent="0.2">
      <c r="A68" s="54">
        <v>11</v>
      </c>
      <c r="B68" s="17" t="s">
        <v>93</v>
      </c>
      <c r="C68" s="55" t="str">
        <f>VLOOKUP(B68,[1]Worksheet!$B$6:$C$153,2,0)</f>
        <v>SSI027</v>
      </c>
      <c r="D68" s="17" t="s">
        <v>222</v>
      </c>
      <c r="E68" s="16"/>
      <c r="F68" s="16"/>
      <c r="G68" s="16">
        <v>1</v>
      </c>
      <c r="H68" s="16">
        <v>1</v>
      </c>
      <c r="I68" s="16">
        <v>1</v>
      </c>
      <c r="J68" s="16">
        <v>1</v>
      </c>
      <c r="K68" s="16">
        <v>1</v>
      </c>
      <c r="L68" s="16"/>
      <c r="M68" s="16">
        <v>1</v>
      </c>
      <c r="N68" s="16">
        <v>1</v>
      </c>
      <c r="O68" s="16">
        <v>1</v>
      </c>
      <c r="P68" s="56">
        <v>1</v>
      </c>
      <c r="Q68" s="16">
        <v>1</v>
      </c>
      <c r="R68" s="16">
        <v>1</v>
      </c>
      <c r="S68" s="16">
        <v>1</v>
      </c>
      <c r="T68" s="16">
        <v>1</v>
      </c>
      <c r="U68" s="16">
        <v>1</v>
      </c>
      <c r="V68" s="16"/>
      <c r="W68" s="56">
        <v>2</v>
      </c>
      <c r="X68" s="16">
        <v>1</v>
      </c>
      <c r="Y68" s="16">
        <v>1</v>
      </c>
      <c r="Z68" s="16"/>
      <c r="AA68" s="16">
        <v>1</v>
      </c>
      <c r="AB68" s="16">
        <v>1</v>
      </c>
      <c r="AC68" s="16">
        <v>1</v>
      </c>
      <c r="AD68" s="56">
        <v>1</v>
      </c>
      <c r="AE68" s="16">
        <v>1</v>
      </c>
      <c r="AF68" s="16">
        <v>1</v>
      </c>
      <c r="AG68" s="16"/>
      <c r="AH68" s="16"/>
      <c r="AI68" s="57">
        <f t="shared" si="3"/>
        <v>24</v>
      </c>
      <c r="AJ68" s="19" t="s">
        <v>25</v>
      </c>
    </row>
    <row r="69" spans="1:56" x14ac:dyDescent="0.2">
      <c r="A69" s="54">
        <v>12</v>
      </c>
      <c r="B69" s="17" t="s">
        <v>105</v>
      </c>
      <c r="C69" s="55" t="str">
        <f>VLOOKUP(B69,[1]Worksheet!$B$6:$C$153,2,0)</f>
        <v>SSI042</v>
      </c>
      <c r="D69" s="17"/>
      <c r="E69" s="16">
        <v>1</v>
      </c>
      <c r="F69" s="16">
        <v>1</v>
      </c>
      <c r="G69" s="16">
        <v>1</v>
      </c>
      <c r="H69" s="16">
        <v>1</v>
      </c>
      <c r="I69" s="16"/>
      <c r="J69" s="16">
        <v>1</v>
      </c>
      <c r="K69" s="56">
        <v>1</v>
      </c>
      <c r="L69" s="16">
        <v>1</v>
      </c>
      <c r="M69" s="16">
        <v>1</v>
      </c>
      <c r="N69" s="16">
        <v>1</v>
      </c>
      <c r="O69" s="16"/>
      <c r="P69" s="16">
        <v>1</v>
      </c>
      <c r="Q69" s="16">
        <v>1</v>
      </c>
      <c r="R69" s="56">
        <v>1</v>
      </c>
      <c r="S69" s="16">
        <v>1</v>
      </c>
      <c r="T69" s="16">
        <v>1</v>
      </c>
      <c r="U69" s="16">
        <v>1</v>
      </c>
      <c r="V69" s="16">
        <v>1</v>
      </c>
      <c r="W69" s="16">
        <v>1</v>
      </c>
      <c r="X69" s="16">
        <v>1</v>
      </c>
      <c r="Y69" s="16"/>
      <c r="Z69" s="16"/>
      <c r="AA69" s="16">
        <v>1</v>
      </c>
      <c r="AB69" s="16">
        <v>1</v>
      </c>
      <c r="AC69" s="16">
        <v>1</v>
      </c>
      <c r="AD69" s="16"/>
      <c r="AE69" s="16">
        <v>1</v>
      </c>
      <c r="AF69" s="16">
        <v>1</v>
      </c>
      <c r="AG69" s="16">
        <v>1</v>
      </c>
      <c r="AH69" s="16">
        <v>1</v>
      </c>
      <c r="AI69" s="57">
        <f t="shared" si="3"/>
        <v>25</v>
      </c>
      <c r="AJ69" s="19" t="s">
        <v>27</v>
      </c>
    </row>
    <row r="70" spans="1:56" x14ac:dyDescent="0.2">
      <c r="A70" s="54">
        <v>13</v>
      </c>
      <c r="B70" s="17" t="s">
        <v>106</v>
      </c>
      <c r="C70" s="55" t="str">
        <f>VLOOKUP(B70,[1]Worksheet!$B$6:$C$153,2,0)</f>
        <v>SSI043</v>
      </c>
      <c r="D70" s="17"/>
      <c r="E70" s="16">
        <v>1</v>
      </c>
      <c r="F70" s="16">
        <v>1</v>
      </c>
      <c r="G70" s="16">
        <v>1</v>
      </c>
      <c r="H70" s="16">
        <v>1</v>
      </c>
      <c r="I70" s="56">
        <v>1</v>
      </c>
      <c r="J70" s="16">
        <v>1</v>
      </c>
      <c r="K70" s="16">
        <v>1</v>
      </c>
      <c r="L70" s="16">
        <v>1</v>
      </c>
      <c r="M70" s="16">
        <v>1</v>
      </c>
      <c r="N70" s="16">
        <v>1</v>
      </c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>
        <v>1</v>
      </c>
      <c r="Z70" s="16">
        <v>1</v>
      </c>
      <c r="AA70" s="16">
        <v>1</v>
      </c>
      <c r="AB70" s="16">
        <v>1</v>
      </c>
      <c r="AC70" s="16"/>
      <c r="AD70" s="56">
        <v>1</v>
      </c>
      <c r="AE70" s="16">
        <v>1</v>
      </c>
      <c r="AF70" s="16">
        <v>1</v>
      </c>
      <c r="AG70" s="16">
        <v>1</v>
      </c>
      <c r="AH70" s="16">
        <v>1</v>
      </c>
      <c r="AI70" s="57">
        <f t="shared" si="3"/>
        <v>19</v>
      </c>
      <c r="AJ70" s="19" t="s">
        <v>25</v>
      </c>
    </row>
    <row r="71" spans="1:56" x14ac:dyDescent="0.2">
      <c r="A71" s="54">
        <v>14</v>
      </c>
      <c r="B71" s="17" t="s">
        <v>107</v>
      </c>
      <c r="C71" s="55" t="str">
        <f>VLOOKUP(B71,[1]Worksheet!$B$6:$C$153,2,0)</f>
        <v>SSI044</v>
      </c>
      <c r="D71" s="17"/>
      <c r="E71" s="16">
        <v>1</v>
      </c>
      <c r="F71" s="16">
        <v>1</v>
      </c>
      <c r="G71" s="56">
        <v>2</v>
      </c>
      <c r="H71" s="16">
        <v>1</v>
      </c>
      <c r="I71" s="56">
        <v>1</v>
      </c>
      <c r="J71" s="16">
        <v>1</v>
      </c>
      <c r="K71" s="56">
        <v>2</v>
      </c>
      <c r="L71" s="16">
        <v>1</v>
      </c>
      <c r="M71" s="16">
        <v>1</v>
      </c>
      <c r="N71" s="16">
        <v>1</v>
      </c>
      <c r="O71" s="16">
        <v>1</v>
      </c>
      <c r="P71" s="56">
        <v>1</v>
      </c>
      <c r="Q71" s="16">
        <v>1</v>
      </c>
      <c r="R71" s="56">
        <v>2</v>
      </c>
      <c r="S71" s="56">
        <v>2</v>
      </c>
      <c r="T71" s="16">
        <v>1</v>
      </c>
      <c r="U71" s="16">
        <v>1</v>
      </c>
      <c r="V71" s="16">
        <v>1</v>
      </c>
      <c r="W71" s="56">
        <v>1</v>
      </c>
      <c r="X71" s="16">
        <v>1</v>
      </c>
      <c r="Y71" s="56">
        <v>2</v>
      </c>
      <c r="Z71" s="16">
        <v>1</v>
      </c>
      <c r="AA71" s="16">
        <v>1</v>
      </c>
      <c r="AB71" s="16">
        <v>1</v>
      </c>
      <c r="AC71" s="16">
        <v>1</v>
      </c>
      <c r="AD71" s="56">
        <v>1</v>
      </c>
      <c r="AE71" s="56">
        <v>2</v>
      </c>
      <c r="AF71" s="16">
        <v>1</v>
      </c>
      <c r="AG71" s="16">
        <v>1</v>
      </c>
      <c r="AH71" s="56">
        <v>2</v>
      </c>
      <c r="AI71" s="57">
        <f t="shared" si="3"/>
        <v>37</v>
      </c>
      <c r="AJ71" s="19" t="s">
        <v>25</v>
      </c>
    </row>
    <row r="72" spans="1:56" ht="13.5" customHeight="1" x14ac:dyDescent="0.2">
      <c r="A72" s="54">
        <v>15</v>
      </c>
      <c r="B72" s="17" t="s">
        <v>173</v>
      </c>
      <c r="C72" s="55" t="str">
        <f>VLOOKUP(B72,[1]Worksheet!$B$6:$C$153,2,0)</f>
        <v>SSI045</v>
      </c>
      <c r="D72" s="17"/>
      <c r="E72" s="16">
        <v>1</v>
      </c>
      <c r="F72" s="16">
        <v>1</v>
      </c>
      <c r="G72" s="16">
        <v>1</v>
      </c>
      <c r="H72" s="56">
        <v>1</v>
      </c>
      <c r="I72" s="16">
        <v>1</v>
      </c>
      <c r="J72" s="16">
        <v>1</v>
      </c>
      <c r="K72" s="16">
        <v>1</v>
      </c>
      <c r="L72" s="16">
        <v>1</v>
      </c>
      <c r="M72" s="16">
        <v>1</v>
      </c>
      <c r="N72" s="16">
        <v>1</v>
      </c>
      <c r="O72" s="56">
        <v>1</v>
      </c>
      <c r="P72" s="16">
        <v>1</v>
      </c>
      <c r="Q72" s="16">
        <v>1</v>
      </c>
      <c r="R72" s="16">
        <v>1</v>
      </c>
      <c r="S72" s="16">
        <v>1</v>
      </c>
      <c r="T72" s="56">
        <v>1.5</v>
      </c>
      <c r="U72" s="16">
        <v>1</v>
      </c>
      <c r="V72" s="56">
        <v>1</v>
      </c>
      <c r="W72" s="16">
        <v>1</v>
      </c>
      <c r="X72" s="16">
        <v>1</v>
      </c>
      <c r="Y72" s="16">
        <v>1</v>
      </c>
      <c r="Z72" s="16">
        <v>1</v>
      </c>
      <c r="AA72" s="16">
        <v>1</v>
      </c>
      <c r="AB72" s="16">
        <v>1</v>
      </c>
      <c r="AC72" s="16"/>
      <c r="AD72" s="16"/>
      <c r="AE72" s="16"/>
      <c r="AF72" s="16">
        <v>1</v>
      </c>
      <c r="AG72" s="16">
        <v>1</v>
      </c>
      <c r="AH72" s="16">
        <v>1</v>
      </c>
      <c r="AI72" s="57">
        <f t="shared" si="3"/>
        <v>27.5</v>
      </c>
      <c r="AJ72" s="19" t="s">
        <v>28</v>
      </c>
      <c r="BD72" s="3">
        <v>34</v>
      </c>
    </row>
    <row r="73" spans="1:56" ht="13.5" customHeight="1" x14ac:dyDescent="0.2">
      <c r="A73" s="54">
        <v>16</v>
      </c>
      <c r="B73" s="17" t="s">
        <v>108</v>
      </c>
      <c r="C73" s="55" t="str">
        <f>VLOOKUP(B73,[1]Worksheet!$B$6:$C$153,2,0)</f>
        <v>SSI046</v>
      </c>
      <c r="D73" s="17"/>
      <c r="E73" s="16">
        <v>1</v>
      </c>
      <c r="F73" s="16">
        <v>1</v>
      </c>
      <c r="G73" s="56">
        <v>1</v>
      </c>
      <c r="H73" s="16">
        <v>1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>
        <v>1</v>
      </c>
      <c r="T73" s="56">
        <v>1.5</v>
      </c>
      <c r="U73" s="56">
        <v>1</v>
      </c>
      <c r="V73" s="16"/>
      <c r="W73" s="16"/>
      <c r="X73" s="16">
        <v>1</v>
      </c>
      <c r="Y73" s="16">
        <v>1</v>
      </c>
      <c r="Z73" s="16">
        <v>1</v>
      </c>
      <c r="AA73" s="16">
        <v>1</v>
      </c>
      <c r="AB73" s="56">
        <v>1</v>
      </c>
      <c r="AC73" s="16">
        <v>1</v>
      </c>
      <c r="AD73" s="16">
        <v>1</v>
      </c>
      <c r="AE73" s="16">
        <v>1</v>
      </c>
      <c r="AF73" s="16">
        <v>1</v>
      </c>
      <c r="AG73" s="16">
        <v>1</v>
      </c>
      <c r="AH73" s="16">
        <v>1</v>
      </c>
      <c r="AI73" s="57">
        <f t="shared" si="3"/>
        <v>18.5</v>
      </c>
      <c r="AJ73" s="19" t="s">
        <v>29</v>
      </c>
    </row>
    <row r="74" spans="1:56" ht="13.5" customHeight="1" x14ac:dyDescent="0.2">
      <c r="A74" s="54">
        <v>17</v>
      </c>
      <c r="B74" s="17" t="s">
        <v>174</v>
      </c>
      <c r="C74" s="55" t="str">
        <f>VLOOKUP(B74,[1]Worksheet!$B$6:$C$153,2,0)</f>
        <v>SSI047</v>
      </c>
      <c r="D74" s="17"/>
      <c r="E74" s="16">
        <v>1</v>
      </c>
      <c r="F74" s="16">
        <v>1</v>
      </c>
      <c r="G74" s="16">
        <v>1</v>
      </c>
      <c r="H74" s="16">
        <v>1</v>
      </c>
      <c r="I74" s="56">
        <v>1</v>
      </c>
      <c r="J74" s="56">
        <v>2</v>
      </c>
      <c r="K74" s="16">
        <v>1</v>
      </c>
      <c r="L74" s="16">
        <v>1</v>
      </c>
      <c r="M74" s="16"/>
      <c r="N74" s="16"/>
      <c r="O74" s="16">
        <v>1</v>
      </c>
      <c r="P74" s="56">
        <v>1</v>
      </c>
      <c r="Q74" s="16">
        <v>1</v>
      </c>
      <c r="R74" s="16">
        <v>1</v>
      </c>
      <c r="S74" s="16">
        <v>1</v>
      </c>
      <c r="T74" s="56">
        <v>2</v>
      </c>
      <c r="U74" s="16">
        <v>1</v>
      </c>
      <c r="V74" s="16">
        <v>1</v>
      </c>
      <c r="W74" s="56">
        <v>1</v>
      </c>
      <c r="X74" s="16">
        <v>1</v>
      </c>
      <c r="Y74" s="16">
        <v>1</v>
      </c>
      <c r="Z74" s="16">
        <v>1</v>
      </c>
      <c r="AA74" s="16">
        <v>1</v>
      </c>
      <c r="AB74" s="16">
        <v>1</v>
      </c>
      <c r="AC74" s="16">
        <v>1</v>
      </c>
      <c r="AD74" s="56">
        <v>1</v>
      </c>
      <c r="AE74" s="16">
        <v>1</v>
      </c>
      <c r="AF74" s="16">
        <v>1</v>
      </c>
      <c r="AG74" s="16">
        <v>1</v>
      </c>
      <c r="AH74" s="16">
        <v>1</v>
      </c>
      <c r="AI74" s="57">
        <f t="shared" si="3"/>
        <v>30</v>
      </c>
      <c r="AJ74" s="19" t="s">
        <v>25</v>
      </c>
      <c r="AK74" s="3">
        <v>26</v>
      </c>
    </row>
    <row r="75" spans="1:56" x14ac:dyDescent="0.2">
      <c r="A75" s="54">
        <v>18</v>
      </c>
      <c r="B75" s="17" t="s">
        <v>175</v>
      </c>
      <c r="C75" s="55" t="str">
        <f>VLOOKUP(B75,[1]Worksheet!$B$6:$C$153,2,0)</f>
        <v>SSI048</v>
      </c>
      <c r="D75" s="17"/>
      <c r="E75" s="16">
        <v>1</v>
      </c>
      <c r="F75" s="16"/>
      <c r="G75" s="16"/>
      <c r="H75" s="16">
        <v>1</v>
      </c>
      <c r="I75" s="56">
        <v>1</v>
      </c>
      <c r="J75" s="56">
        <v>2</v>
      </c>
      <c r="K75" s="16">
        <v>1</v>
      </c>
      <c r="L75" s="16">
        <v>1</v>
      </c>
      <c r="M75" s="56">
        <v>2</v>
      </c>
      <c r="N75" s="16">
        <v>1</v>
      </c>
      <c r="O75" s="16">
        <v>1</v>
      </c>
      <c r="P75" s="56">
        <v>1</v>
      </c>
      <c r="Q75" s="16">
        <v>1</v>
      </c>
      <c r="R75" s="16">
        <v>1</v>
      </c>
      <c r="S75" s="16">
        <v>1</v>
      </c>
      <c r="T75" s="16"/>
      <c r="U75" s="16">
        <v>1</v>
      </c>
      <c r="V75" s="16">
        <v>1</v>
      </c>
      <c r="W75" s="56">
        <v>1</v>
      </c>
      <c r="X75" s="16">
        <v>1</v>
      </c>
      <c r="Y75" s="16">
        <v>1</v>
      </c>
      <c r="Z75" s="16">
        <v>1</v>
      </c>
      <c r="AA75" s="16"/>
      <c r="AB75" s="16"/>
      <c r="AC75" s="16">
        <v>1</v>
      </c>
      <c r="AD75" s="56">
        <v>1</v>
      </c>
      <c r="AE75" s="56">
        <v>2</v>
      </c>
      <c r="AF75" s="16"/>
      <c r="AG75" s="16">
        <v>1</v>
      </c>
      <c r="AH75" s="16">
        <v>1</v>
      </c>
      <c r="AI75" s="57">
        <f t="shared" si="3"/>
        <v>27</v>
      </c>
      <c r="AJ75" s="19" t="s">
        <v>25</v>
      </c>
    </row>
    <row r="76" spans="1:56" ht="13.5" customHeight="1" x14ac:dyDescent="0.2">
      <c r="A76" s="54">
        <v>19</v>
      </c>
      <c r="B76" s="132" t="s">
        <v>203</v>
      </c>
      <c r="C76" s="55" t="str">
        <f>VLOOKUP(B76,[1]Worksheet!$B$6:$C$153,2,0)</f>
        <v>SSI049</v>
      </c>
      <c r="D76" s="17"/>
      <c r="E76" s="16">
        <v>1</v>
      </c>
      <c r="F76" s="56">
        <v>1</v>
      </c>
      <c r="G76" s="16">
        <v>1</v>
      </c>
      <c r="H76" s="56">
        <v>2</v>
      </c>
      <c r="I76" s="56">
        <v>2</v>
      </c>
      <c r="J76" s="16">
        <v>1</v>
      </c>
      <c r="K76" s="16">
        <v>1</v>
      </c>
      <c r="L76" s="16">
        <v>1</v>
      </c>
      <c r="M76" s="16">
        <v>1</v>
      </c>
      <c r="N76" s="16">
        <v>1</v>
      </c>
      <c r="O76" s="16">
        <v>1</v>
      </c>
      <c r="P76" s="16">
        <v>1</v>
      </c>
      <c r="Q76" s="16"/>
      <c r="R76" s="56">
        <v>2</v>
      </c>
      <c r="S76" s="16">
        <v>1</v>
      </c>
      <c r="T76" s="16"/>
      <c r="U76" s="56">
        <v>2</v>
      </c>
      <c r="V76" s="16">
        <v>1</v>
      </c>
      <c r="W76" s="16">
        <v>1</v>
      </c>
      <c r="X76" s="16">
        <v>1</v>
      </c>
      <c r="Y76" s="56">
        <v>2</v>
      </c>
      <c r="Z76" s="16">
        <v>1</v>
      </c>
      <c r="AA76" s="56">
        <v>1</v>
      </c>
      <c r="AB76" s="16">
        <v>1</v>
      </c>
      <c r="AC76" s="16">
        <v>1</v>
      </c>
      <c r="AD76" s="56">
        <v>2</v>
      </c>
      <c r="AE76" s="16">
        <v>1</v>
      </c>
      <c r="AF76" s="16">
        <v>1</v>
      </c>
      <c r="AG76" s="16">
        <v>1</v>
      </c>
      <c r="AH76" s="16">
        <v>1</v>
      </c>
      <c r="AI76" s="57">
        <f t="shared" si="3"/>
        <v>34</v>
      </c>
      <c r="AJ76" s="19" t="s">
        <v>26</v>
      </c>
    </row>
    <row r="77" spans="1:56" x14ac:dyDescent="0.2">
      <c r="A77" s="54">
        <v>20</v>
      </c>
      <c r="B77" s="17" t="s">
        <v>176</v>
      </c>
      <c r="C77" s="55" t="str">
        <f>VLOOKUP(B77,[1]Worksheet!$B$6:$C$153,2,0)</f>
        <v>SSI050</v>
      </c>
      <c r="D77" s="17"/>
      <c r="E77" s="16">
        <v>1</v>
      </c>
      <c r="F77" s="16"/>
      <c r="G77" s="16">
        <v>1</v>
      </c>
      <c r="H77" s="16">
        <v>1</v>
      </c>
      <c r="I77" s="16">
        <v>1</v>
      </c>
      <c r="J77" s="16"/>
      <c r="K77" s="16">
        <v>1</v>
      </c>
      <c r="L77" s="16">
        <v>1</v>
      </c>
      <c r="M77" s="16">
        <v>1</v>
      </c>
      <c r="N77" s="16">
        <v>1</v>
      </c>
      <c r="O77" s="16">
        <v>1</v>
      </c>
      <c r="P77" s="56">
        <v>2</v>
      </c>
      <c r="Q77" s="16">
        <v>1</v>
      </c>
      <c r="R77" s="16"/>
      <c r="S77" s="16"/>
      <c r="T77" s="56">
        <v>1</v>
      </c>
      <c r="U77" s="16">
        <v>1</v>
      </c>
      <c r="V77" s="16">
        <v>1</v>
      </c>
      <c r="W77" s="16"/>
      <c r="X77" s="16"/>
      <c r="Y77" s="16"/>
      <c r="Z77" s="16">
        <v>1</v>
      </c>
      <c r="AA77" s="56">
        <v>1</v>
      </c>
      <c r="AB77" s="16">
        <v>1</v>
      </c>
      <c r="AC77" s="16">
        <v>1</v>
      </c>
      <c r="AD77" s="16"/>
      <c r="AE77" s="16"/>
      <c r="AF77" s="16">
        <v>1</v>
      </c>
      <c r="AG77" s="16">
        <v>1</v>
      </c>
      <c r="AH77" s="16">
        <v>1</v>
      </c>
      <c r="AI77" s="57">
        <f t="shared" si="3"/>
        <v>22</v>
      </c>
      <c r="AJ77" s="19" t="s">
        <v>26</v>
      </c>
    </row>
    <row r="78" spans="1:56" x14ac:dyDescent="0.2">
      <c r="A78" s="54">
        <v>21</v>
      </c>
      <c r="B78" s="17" t="s">
        <v>109</v>
      </c>
      <c r="C78" s="55" t="str">
        <f>VLOOKUP(B78,[1]Worksheet!$B$6:$C$153,2,0)</f>
        <v>SSI051</v>
      </c>
      <c r="D78" s="17"/>
      <c r="E78" s="16">
        <v>1</v>
      </c>
      <c r="F78" s="56">
        <v>1</v>
      </c>
      <c r="G78" s="16">
        <v>1</v>
      </c>
      <c r="H78" s="16">
        <v>1</v>
      </c>
      <c r="I78" s="16">
        <v>1</v>
      </c>
      <c r="J78" s="56">
        <v>2</v>
      </c>
      <c r="K78" s="16">
        <v>1</v>
      </c>
      <c r="L78" s="16">
        <v>1</v>
      </c>
      <c r="M78" s="16">
        <v>1</v>
      </c>
      <c r="N78" s="16">
        <v>1</v>
      </c>
      <c r="O78" s="16">
        <v>1</v>
      </c>
      <c r="P78" s="16">
        <v>1</v>
      </c>
      <c r="Q78" s="16">
        <v>1</v>
      </c>
      <c r="R78" s="16">
        <v>1</v>
      </c>
      <c r="S78" s="16">
        <v>1</v>
      </c>
      <c r="T78" s="56">
        <v>1</v>
      </c>
      <c r="U78" s="16">
        <v>1</v>
      </c>
      <c r="V78" s="56">
        <v>2</v>
      </c>
      <c r="W78" s="56">
        <v>2</v>
      </c>
      <c r="X78" s="56">
        <v>2</v>
      </c>
      <c r="Y78" s="16">
        <v>1</v>
      </c>
      <c r="Z78" s="16">
        <v>1</v>
      </c>
      <c r="AA78" s="56">
        <v>1</v>
      </c>
      <c r="AB78" s="16">
        <v>1</v>
      </c>
      <c r="AC78" s="16">
        <v>1</v>
      </c>
      <c r="AD78" s="16">
        <v>1</v>
      </c>
      <c r="AE78" s="16">
        <v>1</v>
      </c>
      <c r="AF78" s="16">
        <v>1</v>
      </c>
      <c r="AG78" s="16">
        <v>1</v>
      </c>
      <c r="AH78" s="16">
        <v>1</v>
      </c>
      <c r="AI78" s="57">
        <f t="shared" si="3"/>
        <v>34</v>
      </c>
      <c r="AJ78" s="19" t="s">
        <v>26</v>
      </c>
    </row>
    <row r="79" spans="1:56" x14ac:dyDescent="0.2">
      <c r="A79" s="54">
        <v>22</v>
      </c>
      <c r="B79" s="17" t="s">
        <v>110</v>
      </c>
      <c r="C79" s="55" t="str">
        <f>VLOOKUP(B79,[1]Worksheet!$B$6:$C$153,2,0)</f>
        <v>SSI052</v>
      </c>
      <c r="D79" s="17"/>
      <c r="E79" s="16">
        <v>1</v>
      </c>
      <c r="F79" s="16">
        <v>1</v>
      </c>
      <c r="G79" s="16">
        <v>1</v>
      </c>
      <c r="H79" s="16">
        <v>1</v>
      </c>
      <c r="I79" s="16">
        <v>1</v>
      </c>
      <c r="J79" s="16">
        <v>1</v>
      </c>
      <c r="K79" s="16">
        <v>1</v>
      </c>
      <c r="L79" s="16"/>
      <c r="M79" s="16">
        <v>1</v>
      </c>
      <c r="N79" s="16">
        <v>1</v>
      </c>
      <c r="O79" s="16">
        <v>1</v>
      </c>
      <c r="P79" s="16">
        <v>1</v>
      </c>
      <c r="Q79" s="56">
        <v>1</v>
      </c>
      <c r="R79" s="16">
        <v>1</v>
      </c>
      <c r="S79" s="16">
        <v>1</v>
      </c>
      <c r="T79" s="56">
        <v>1.5</v>
      </c>
      <c r="U79" s="16">
        <v>1</v>
      </c>
      <c r="V79" s="16">
        <v>1</v>
      </c>
      <c r="W79" s="16">
        <v>1</v>
      </c>
      <c r="X79" s="56">
        <v>1</v>
      </c>
      <c r="Y79" s="16">
        <v>1</v>
      </c>
      <c r="Z79" s="16">
        <v>1</v>
      </c>
      <c r="AA79" s="16">
        <v>1</v>
      </c>
      <c r="AB79" s="16">
        <v>1</v>
      </c>
      <c r="AC79" s="16"/>
      <c r="AD79" s="16"/>
      <c r="AE79" s="16"/>
      <c r="AF79" s="16">
        <v>1</v>
      </c>
      <c r="AG79" s="16">
        <v>1</v>
      </c>
      <c r="AH79" s="16">
        <v>1</v>
      </c>
      <c r="AI79" s="57">
        <f t="shared" si="3"/>
        <v>26.5</v>
      </c>
      <c r="AJ79" s="6" t="s">
        <v>30</v>
      </c>
      <c r="AK79" s="3" t="s">
        <v>31</v>
      </c>
    </row>
    <row r="80" spans="1:56" x14ac:dyDescent="0.2">
      <c r="A80" s="54">
        <v>23</v>
      </c>
      <c r="B80" s="17" t="s">
        <v>111</v>
      </c>
      <c r="C80" s="55" t="str">
        <f>VLOOKUP(B80,[1]Worksheet!$B$6:$C$153,2,0)</f>
        <v>SSI053</v>
      </c>
      <c r="D80" s="17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55">
        <f t="shared" si="3"/>
        <v>0</v>
      </c>
      <c r="AJ80" s="6" t="s">
        <v>28</v>
      </c>
      <c r="AK80" s="3" t="s">
        <v>32</v>
      </c>
    </row>
    <row r="81" spans="1:36" ht="13.5" customHeight="1" x14ac:dyDescent="0.2">
      <c r="A81" s="54">
        <v>24</v>
      </c>
      <c r="B81" s="17" t="s">
        <v>112</v>
      </c>
      <c r="C81" s="55" t="str">
        <f>VLOOKUP(B81,[1]Worksheet!$B$6:$C$153,2,0)</f>
        <v>SSI054</v>
      </c>
      <c r="D81" s="17"/>
      <c r="E81" s="16">
        <v>1</v>
      </c>
      <c r="F81" s="56">
        <v>1</v>
      </c>
      <c r="G81" s="16">
        <v>1</v>
      </c>
      <c r="H81" s="16">
        <v>1</v>
      </c>
      <c r="I81" s="16"/>
      <c r="J81" s="16">
        <v>1</v>
      </c>
      <c r="K81" s="16">
        <v>1</v>
      </c>
      <c r="L81" s="16">
        <v>1</v>
      </c>
      <c r="M81" s="16">
        <v>1</v>
      </c>
      <c r="N81" s="16">
        <v>1</v>
      </c>
      <c r="O81" s="16">
        <v>1</v>
      </c>
      <c r="P81" s="16">
        <v>1</v>
      </c>
      <c r="Q81" s="16">
        <v>1</v>
      </c>
      <c r="R81" s="56">
        <v>2</v>
      </c>
      <c r="S81" s="16">
        <v>1</v>
      </c>
      <c r="T81" s="56">
        <v>1</v>
      </c>
      <c r="U81" s="16">
        <v>1</v>
      </c>
      <c r="V81" s="16"/>
      <c r="W81" s="16"/>
      <c r="X81" s="56">
        <v>2</v>
      </c>
      <c r="Y81" s="16">
        <v>1</v>
      </c>
      <c r="Z81" s="16">
        <v>1</v>
      </c>
      <c r="AA81" s="56">
        <v>1</v>
      </c>
      <c r="AB81" s="16">
        <v>1</v>
      </c>
      <c r="AC81" s="16">
        <v>1</v>
      </c>
      <c r="AD81" s="16">
        <v>1</v>
      </c>
      <c r="AE81" s="16">
        <v>1</v>
      </c>
      <c r="AF81" s="56">
        <v>2</v>
      </c>
      <c r="AG81" s="16">
        <v>1</v>
      </c>
      <c r="AH81" s="16"/>
      <c r="AI81" s="57">
        <f t="shared" si="3"/>
        <v>29</v>
      </c>
      <c r="AJ81" s="6" t="s">
        <v>26</v>
      </c>
    </row>
    <row r="82" spans="1:36" x14ac:dyDescent="0.2">
      <c r="A82" s="54">
        <v>25</v>
      </c>
      <c r="B82" s="132" t="s">
        <v>204</v>
      </c>
      <c r="C82" s="55" t="str">
        <f>VLOOKUP(B82,[1]Worksheet!$B$6:$C$153,2,0)</f>
        <v>SSI055</v>
      </c>
      <c r="D82" s="17"/>
      <c r="E82" s="56">
        <v>1</v>
      </c>
      <c r="F82" s="16">
        <v>1</v>
      </c>
      <c r="G82" s="56">
        <v>1.5</v>
      </c>
      <c r="H82" s="16">
        <v>1</v>
      </c>
      <c r="I82" s="16">
        <v>1</v>
      </c>
      <c r="J82" s="16">
        <v>1</v>
      </c>
      <c r="K82" s="16">
        <v>1</v>
      </c>
      <c r="L82" s="56">
        <v>1</v>
      </c>
      <c r="M82" s="16">
        <v>1</v>
      </c>
      <c r="N82" s="16">
        <v>1</v>
      </c>
      <c r="O82" s="56">
        <v>1.5</v>
      </c>
      <c r="P82" s="16">
        <v>1</v>
      </c>
      <c r="Q82" s="16">
        <v>1</v>
      </c>
      <c r="R82" s="16">
        <v>1</v>
      </c>
      <c r="S82" s="56">
        <v>1</v>
      </c>
      <c r="T82" s="56">
        <v>1.5</v>
      </c>
      <c r="U82" s="16">
        <v>1</v>
      </c>
      <c r="V82" s="16"/>
      <c r="W82" s="16"/>
      <c r="X82" s="16"/>
      <c r="Y82" s="16"/>
      <c r="Z82" s="56">
        <v>1</v>
      </c>
      <c r="AA82" s="16">
        <v>1</v>
      </c>
      <c r="AB82" s="16">
        <v>1</v>
      </c>
      <c r="AC82" s="16">
        <v>1</v>
      </c>
      <c r="AD82" s="16">
        <v>1</v>
      </c>
      <c r="AE82" s="16">
        <v>1</v>
      </c>
      <c r="AF82" s="16">
        <v>1</v>
      </c>
      <c r="AG82" s="16">
        <v>1</v>
      </c>
      <c r="AH82" s="16"/>
      <c r="AI82" s="57">
        <f t="shared" si="3"/>
        <v>26.5</v>
      </c>
      <c r="AJ82" s="6" t="s">
        <v>33</v>
      </c>
    </row>
    <row r="83" spans="1:36" x14ac:dyDescent="0.2">
      <c r="A83" s="54">
        <v>26</v>
      </c>
      <c r="B83" s="17" t="s">
        <v>177</v>
      </c>
      <c r="C83" s="55" t="str">
        <f>VLOOKUP(B83,[1]Worksheet!$B$6:$C$153,2,0)</f>
        <v>SSI056</v>
      </c>
      <c r="D83" s="17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55">
        <f t="shared" si="3"/>
        <v>0</v>
      </c>
      <c r="AJ83" s="60" t="s">
        <v>34</v>
      </c>
    </row>
    <row r="84" spans="1:36" x14ac:dyDescent="0.2">
      <c r="A84" s="54">
        <v>27</v>
      </c>
      <c r="B84" s="17" t="s">
        <v>178</v>
      </c>
      <c r="C84" s="55" t="str">
        <f>VLOOKUP(B84,[1]Worksheet!$B$6:$C$153,2,0)</f>
        <v>SSI057</v>
      </c>
      <c r="D84" s="17"/>
      <c r="E84" s="16"/>
      <c r="F84" s="16"/>
      <c r="G84" s="56">
        <v>1.5</v>
      </c>
      <c r="H84" s="16">
        <v>1</v>
      </c>
      <c r="I84" s="16">
        <v>1</v>
      </c>
      <c r="J84" s="16">
        <v>1</v>
      </c>
      <c r="K84" s="16">
        <v>1</v>
      </c>
      <c r="L84" s="16">
        <v>1</v>
      </c>
      <c r="M84" s="56">
        <v>1</v>
      </c>
      <c r="N84" s="56">
        <v>1.5</v>
      </c>
      <c r="O84" s="16">
        <v>1</v>
      </c>
      <c r="P84" s="16">
        <v>1</v>
      </c>
      <c r="Q84" s="16">
        <v>1</v>
      </c>
      <c r="R84" s="16">
        <v>1</v>
      </c>
      <c r="S84" s="16">
        <v>1</v>
      </c>
      <c r="T84" s="56">
        <v>1</v>
      </c>
      <c r="U84" s="16">
        <v>1</v>
      </c>
      <c r="V84" s="16">
        <v>1</v>
      </c>
      <c r="W84" s="16">
        <v>1</v>
      </c>
      <c r="X84" s="16">
        <v>1</v>
      </c>
      <c r="Y84" s="16">
        <v>1</v>
      </c>
      <c r="Z84" s="61">
        <v>1</v>
      </c>
      <c r="AA84" s="56">
        <v>1</v>
      </c>
      <c r="AB84" s="16">
        <v>1</v>
      </c>
      <c r="AC84" s="16">
        <v>1</v>
      </c>
      <c r="AD84" s="16">
        <v>1</v>
      </c>
      <c r="AE84" s="16">
        <v>1</v>
      </c>
      <c r="AF84" s="16">
        <v>1</v>
      </c>
      <c r="AG84" s="16">
        <v>1</v>
      </c>
      <c r="AH84" s="56">
        <v>1.5</v>
      </c>
      <c r="AI84" s="57">
        <f t="shared" si="3"/>
        <v>29.5</v>
      </c>
      <c r="AJ84" s="6" t="s">
        <v>26</v>
      </c>
    </row>
    <row r="85" spans="1:36" x14ac:dyDescent="0.2">
      <c r="A85" s="54">
        <v>28</v>
      </c>
      <c r="B85" s="131" t="s">
        <v>205</v>
      </c>
      <c r="C85" s="55" t="str">
        <f>VLOOKUP(B85,[1]Worksheet!$B$6:$C$153,2,0)</f>
        <v>SSI058</v>
      </c>
      <c r="D85" s="17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>
        <v>1</v>
      </c>
      <c r="T85" s="16"/>
      <c r="U85" s="16"/>
      <c r="V85" s="16"/>
      <c r="W85" s="16">
        <v>1</v>
      </c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55">
        <f t="shared" si="3"/>
        <v>2</v>
      </c>
      <c r="AJ85" s="6" t="s">
        <v>35</v>
      </c>
    </row>
    <row r="86" spans="1:36" x14ac:dyDescent="0.2">
      <c r="A86" s="54">
        <v>29</v>
      </c>
      <c r="B86" s="17" t="s">
        <v>113</v>
      </c>
      <c r="C86" s="55" t="str">
        <f>VLOOKUP(B86,[1]Worksheet!$B$6:$C$153,2,0)</f>
        <v>SSI059</v>
      </c>
      <c r="D86" s="17"/>
      <c r="E86" s="16">
        <v>1</v>
      </c>
      <c r="F86" s="16">
        <v>1</v>
      </c>
      <c r="G86" s="16"/>
      <c r="H86" s="43">
        <v>1</v>
      </c>
      <c r="I86" s="16">
        <v>1</v>
      </c>
      <c r="J86" s="16">
        <v>1</v>
      </c>
      <c r="K86" s="16">
        <v>1</v>
      </c>
      <c r="L86" s="16">
        <v>1</v>
      </c>
      <c r="M86" s="16">
        <v>1</v>
      </c>
      <c r="N86" s="16"/>
      <c r="O86" s="16">
        <v>1</v>
      </c>
      <c r="P86" s="16">
        <v>1</v>
      </c>
      <c r="Q86" s="16">
        <v>1</v>
      </c>
      <c r="R86" s="16">
        <v>1</v>
      </c>
      <c r="S86" s="16">
        <v>1</v>
      </c>
      <c r="T86" s="16">
        <v>1</v>
      </c>
      <c r="U86" s="16"/>
      <c r="V86" s="16">
        <v>1</v>
      </c>
      <c r="W86" s="16">
        <v>1</v>
      </c>
      <c r="X86" s="16">
        <v>1</v>
      </c>
      <c r="Y86" s="16">
        <v>1</v>
      </c>
      <c r="Z86" s="16">
        <v>1</v>
      </c>
      <c r="AA86" s="16">
        <v>1</v>
      </c>
      <c r="AB86" s="16"/>
      <c r="AC86" s="16">
        <v>1</v>
      </c>
      <c r="AD86" s="16">
        <v>1</v>
      </c>
      <c r="AE86" s="16">
        <v>1</v>
      </c>
      <c r="AF86" s="16">
        <v>1</v>
      </c>
      <c r="AG86" s="16">
        <v>1</v>
      </c>
      <c r="AH86" s="16">
        <v>1</v>
      </c>
      <c r="AI86" s="57">
        <f>SUM(E86:AH86)</f>
        <v>26</v>
      </c>
      <c r="AJ86" s="6" t="s">
        <v>36</v>
      </c>
    </row>
    <row r="87" spans="1:36" x14ac:dyDescent="0.2">
      <c r="A87" s="54">
        <v>30</v>
      </c>
      <c r="B87" s="17"/>
      <c r="C87" s="17"/>
      <c r="D87" s="17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8" t="s">
        <v>37</v>
      </c>
      <c r="AJ87" s="6"/>
    </row>
    <row r="88" spans="1:36" ht="15" thickBot="1" x14ac:dyDescent="0.25">
      <c r="A88" s="54">
        <v>31</v>
      </c>
      <c r="B88" s="16"/>
      <c r="C88" s="29"/>
      <c r="D88" s="29"/>
      <c r="E88" s="62"/>
      <c r="F88" s="63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4">
        <f>SUM(AI59:AI87)</f>
        <v>694.5</v>
      </c>
      <c r="AJ88" s="6"/>
    </row>
    <row r="89" spans="1:36" x14ac:dyDescent="0.2">
      <c r="A89" s="65"/>
      <c r="B89" s="6"/>
      <c r="C89" s="6"/>
      <c r="D89" s="6"/>
      <c r="E89" s="30"/>
      <c r="F89" s="31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66"/>
      <c r="AJ89" s="32"/>
    </row>
    <row r="90" spans="1:36" x14ac:dyDescent="0.2">
      <c r="E90" s="52"/>
      <c r="F90" s="53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32"/>
    </row>
    <row r="91" spans="1:36" ht="13.5" customHeight="1" x14ac:dyDescent="0.2">
      <c r="A91" s="8" t="s">
        <v>6</v>
      </c>
      <c r="B91" s="33" t="s">
        <v>7</v>
      </c>
      <c r="C91" s="33"/>
      <c r="D91" s="33"/>
      <c r="E91" s="10" t="s">
        <v>8</v>
      </c>
      <c r="F91" s="11" t="s">
        <v>9</v>
      </c>
      <c r="G91" s="10" t="s">
        <v>10</v>
      </c>
      <c r="H91" s="10" t="s">
        <v>11</v>
      </c>
      <c r="I91" s="10" t="s">
        <v>12</v>
      </c>
      <c r="J91" s="10" t="s">
        <v>13</v>
      </c>
      <c r="K91" s="12" t="s">
        <v>14</v>
      </c>
      <c r="L91" s="10" t="s">
        <v>8</v>
      </c>
      <c r="M91" s="11" t="s">
        <v>9</v>
      </c>
      <c r="N91" s="10" t="s">
        <v>10</v>
      </c>
      <c r="O91" s="10" t="s">
        <v>11</v>
      </c>
      <c r="P91" s="10" t="s">
        <v>12</v>
      </c>
      <c r="Q91" s="10" t="s">
        <v>13</v>
      </c>
      <c r="R91" s="12" t="s">
        <v>14</v>
      </c>
      <c r="S91" s="10" t="s">
        <v>8</v>
      </c>
      <c r="T91" s="11" t="s">
        <v>9</v>
      </c>
      <c r="U91" s="10" t="s">
        <v>10</v>
      </c>
      <c r="V91" s="10" t="s">
        <v>11</v>
      </c>
      <c r="W91" s="10" t="s">
        <v>12</v>
      </c>
      <c r="X91" s="10" t="s">
        <v>13</v>
      </c>
      <c r="Y91" s="12" t="s">
        <v>14</v>
      </c>
      <c r="Z91" s="10" t="s">
        <v>8</v>
      </c>
      <c r="AA91" s="11" t="s">
        <v>9</v>
      </c>
      <c r="AB91" s="10" t="s">
        <v>10</v>
      </c>
      <c r="AC91" s="10" t="s">
        <v>11</v>
      </c>
      <c r="AD91" s="10" t="s">
        <v>12</v>
      </c>
      <c r="AE91" s="10" t="s">
        <v>13</v>
      </c>
      <c r="AF91" s="12" t="s">
        <v>14</v>
      </c>
      <c r="AG91" s="10" t="s">
        <v>8</v>
      </c>
      <c r="AH91" s="11" t="s">
        <v>9</v>
      </c>
      <c r="AI91" s="133" t="s">
        <v>15</v>
      </c>
      <c r="AJ91" s="4" t="s">
        <v>38</v>
      </c>
    </row>
    <row r="92" spans="1:36" ht="14.25" customHeight="1" x14ac:dyDescent="0.25">
      <c r="A92" s="8"/>
      <c r="B92" s="34" t="s">
        <v>39</v>
      </c>
      <c r="C92" s="34"/>
      <c r="D92" s="34"/>
      <c r="E92" s="15">
        <v>1</v>
      </c>
      <c r="F92" s="15">
        <v>2</v>
      </c>
      <c r="G92" s="15">
        <v>3</v>
      </c>
      <c r="H92" s="15">
        <v>4</v>
      </c>
      <c r="I92" s="15">
        <v>5</v>
      </c>
      <c r="J92" s="15">
        <v>6</v>
      </c>
      <c r="K92" s="15">
        <v>7</v>
      </c>
      <c r="L92" s="15">
        <v>8</v>
      </c>
      <c r="M92" s="15">
        <v>9</v>
      </c>
      <c r="N92" s="15">
        <v>10</v>
      </c>
      <c r="O92" s="15">
        <v>11</v>
      </c>
      <c r="P92" s="15">
        <v>12</v>
      </c>
      <c r="Q92" s="15">
        <v>13</v>
      </c>
      <c r="R92" s="15">
        <v>14</v>
      </c>
      <c r="S92" s="15">
        <v>15</v>
      </c>
      <c r="T92" s="15">
        <v>16</v>
      </c>
      <c r="U92" s="15">
        <v>17</v>
      </c>
      <c r="V92" s="15">
        <v>18</v>
      </c>
      <c r="W92" s="15">
        <v>19</v>
      </c>
      <c r="X92" s="15">
        <v>20</v>
      </c>
      <c r="Y92" s="15">
        <v>21</v>
      </c>
      <c r="Z92" s="15">
        <v>22</v>
      </c>
      <c r="AA92" s="15">
        <v>23</v>
      </c>
      <c r="AB92" s="15">
        <v>24</v>
      </c>
      <c r="AC92" s="15">
        <v>25</v>
      </c>
      <c r="AD92" s="15">
        <v>26</v>
      </c>
      <c r="AE92" s="15">
        <v>27</v>
      </c>
      <c r="AF92" s="15">
        <v>28</v>
      </c>
      <c r="AG92" s="15">
        <v>29</v>
      </c>
      <c r="AH92" s="15">
        <v>30</v>
      </c>
      <c r="AI92" s="134"/>
      <c r="AJ92" s="67"/>
    </row>
    <row r="93" spans="1:36" s="58" customFormat="1" x14ac:dyDescent="0.2">
      <c r="A93" s="61">
        <v>1</v>
      </c>
      <c r="B93" s="131" t="s">
        <v>206</v>
      </c>
      <c r="C93" s="55" t="str">
        <f>VLOOKUP(B93,[1]Worksheet!$B$6:$C$153,2,0)</f>
        <v>SSI060</v>
      </c>
      <c r="D93" s="55"/>
      <c r="E93" s="16">
        <v>1</v>
      </c>
      <c r="F93" s="16">
        <v>1</v>
      </c>
      <c r="G93" s="16">
        <v>1</v>
      </c>
      <c r="H93" s="16">
        <v>1</v>
      </c>
      <c r="I93" s="56">
        <v>1</v>
      </c>
      <c r="J93" s="16">
        <v>1</v>
      </c>
      <c r="K93" s="16">
        <v>1</v>
      </c>
      <c r="L93" s="16">
        <v>1</v>
      </c>
      <c r="M93" s="56">
        <v>2</v>
      </c>
      <c r="N93" s="16">
        <v>1</v>
      </c>
      <c r="O93" s="16">
        <v>1</v>
      </c>
      <c r="P93" s="56">
        <v>1</v>
      </c>
      <c r="Q93" s="16">
        <v>1</v>
      </c>
      <c r="R93" s="16">
        <v>1</v>
      </c>
      <c r="S93" s="16">
        <v>1</v>
      </c>
      <c r="T93" s="16"/>
      <c r="U93" s="16">
        <v>1</v>
      </c>
      <c r="V93" s="16">
        <v>1</v>
      </c>
      <c r="W93" s="56">
        <v>1</v>
      </c>
      <c r="X93" s="16">
        <v>1</v>
      </c>
      <c r="Y93" s="16">
        <v>1</v>
      </c>
      <c r="Z93" s="16">
        <v>1</v>
      </c>
      <c r="AA93" s="16">
        <v>1</v>
      </c>
      <c r="AB93" s="16">
        <v>1</v>
      </c>
      <c r="AC93" s="16">
        <v>1</v>
      </c>
      <c r="AD93" s="16">
        <v>1</v>
      </c>
      <c r="AE93" s="16">
        <v>1</v>
      </c>
      <c r="AF93" s="16">
        <v>1</v>
      </c>
      <c r="AG93" s="16">
        <v>2</v>
      </c>
      <c r="AH93" s="16">
        <v>1</v>
      </c>
      <c r="AI93" s="57">
        <f>SUM(E93:AH93)</f>
        <v>31</v>
      </c>
      <c r="AJ93" s="19" t="s">
        <v>25</v>
      </c>
    </row>
    <row r="94" spans="1:36" s="69" customFormat="1" x14ac:dyDescent="0.2">
      <c r="A94" s="61">
        <v>2</v>
      </c>
      <c r="B94" s="18" t="s">
        <v>114</v>
      </c>
      <c r="C94" s="55" t="str">
        <f>VLOOKUP(B94,[1]Worksheet!$B$6:$C$153,2,0)</f>
        <v>SSI061</v>
      </c>
      <c r="D94" s="18"/>
      <c r="E94" s="16">
        <v>1</v>
      </c>
      <c r="F94" s="56">
        <v>1</v>
      </c>
      <c r="G94" s="16">
        <v>1</v>
      </c>
      <c r="H94" s="16">
        <v>1</v>
      </c>
      <c r="I94" s="16">
        <v>1</v>
      </c>
      <c r="J94" s="16"/>
      <c r="K94" s="16"/>
      <c r="L94" s="16">
        <v>1</v>
      </c>
      <c r="M94" s="56">
        <v>1</v>
      </c>
      <c r="N94" s="16">
        <v>1</v>
      </c>
      <c r="O94" s="16">
        <v>1</v>
      </c>
      <c r="P94" s="16">
        <v>1</v>
      </c>
      <c r="Q94" s="16">
        <v>1</v>
      </c>
      <c r="R94" s="16">
        <v>1</v>
      </c>
      <c r="S94" s="16">
        <v>1</v>
      </c>
      <c r="T94" s="16"/>
      <c r="U94" s="16">
        <v>1</v>
      </c>
      <c r="V94" s="16">
        <v>1</v>
      </c>
      <c r="W94" s="16">
        <v>1</v>
      </c>
      <c r="X94" s="16">
        <v>1</v>
      </c>
      <c r="Y94" s="16">
        <v>1</v>
      </c>
      <c r="Z94" s="16">
        <v>1</v>
      </c>
      <c r="AA94" s="56">
        <v>1</v>
      </c>
      <c r="AB94" s="16">
        <v>1</v>
      </c>
      <c r="AC94" s="16">
        <v>1</v>
      </c>
      <c r="AD94" s="16">
        <v>1</v>
      </c>
      <c r="AE94" s="16">
        <v>1</v>
      </c>
      <c r="AF94" s="16">
        <v>1</v>
      </c>
      <c r="AG94" s="16">
        <v>1</v>
      </c>
      <c r="AH94" s="16">
        <v>1</v>
      </c>
      <c r="AI94" s="57">
        <f t="shared" ref="AI94:AI100" si="4">SUM(E94:AH94)</f>
        <v>27</v>
      </c>
      <c r="AJ94" s="68" t="s">
        <v>40</v>
      </c>
    </row>
    <row r="95" spans="1:36" ht="14.25" customHeight="1" x14ac:dyDescent="0.2">
      <c r="A95" s="61">
        <v>3</v>
      </c>
      <c r="B95" s="17" t="s">
        <v>115</v>
      </c>
      <c r="C95" s="55" t="str">
        <f>VLOOKUP(B95,[1]Worksheet!$B$6:$C$153,2,0)</f>
        <v>SSI062</v>
      </c>
      <c r="D95" s="17" t="s">
        <v>222</v>
      </c>
      <c r="E95" s="16">
        <v>1</v>
      </c>
      <c r="F95" s="16">
        <v>1</v>
      </c>
      <c r="G95" s="56">
        <v>2</v>
      </c>
      <c r="H95" s="16">
        <v>1</v>
      </c>
      <c r="I95" s="16">
        <v>1</v>
      </c>
      <c r="J95" s="16">
        <v>1</v>
      </c>
      <c r="K95" s="16">
        <v>1</v>
      </c>
      <c r="L95" s="16">
        <v>1</v>
      </c>
      <c r="M95" s="16">
        <v>1</v>
      </c>
      <c r="N95" s="56">
        <v>1</v>
      </c>
      <c r="O95" s="16">
        <v>1</v>
      </c>
      <c r="P95" s="16">
        <v>1</v>
      </c>
      <c r="Q95" s="16"/>
      <c r="R95" s="16">
        <v>1</v>
      </c>
      <c r="S95" s="16">
        <v>1</v>
      </c>
      <c r="T95" s="56">
        <v>2</v>
      </c>
      <c r="U95" s="56">
        <v>1</v>
      </c>
      <c r="V95" s="16">
        <v>1</v>
      </c>
      <c r="W95" s="56">
        <v>1.5</v>
      </c>
      <c r="X95" s="16"/>
      <c r="Y95" s="16">
        <v>1</v>
      </c>
      <c r="Z95" s="16">
        <v>1</v>
      </c>
      <c r="AA95" s="16"/>
      <c r="AB95" s="56">
        <v>1</v>
      </c>
      <c r="AC95" s="16">
        <v>1</v>
      </c>
      <c r="AD95" s="16">
        <v>1</v>
      </c>
      <c r="AE95" s="16">
        <v>1</v>
      </c>
      <c r="AF95" s="16">
        <v>1</v>
      </c>
      <c r="AG95" s="16">
        <v>1</v>
      </c>
      <c r="AH95" s="16">
        <v>1</v>
      </c>
      <c r="AI95" s="57">
        <f t="shared" si="4"/>
        <v>29.5</v>
      </c>
      <c r="AJ95" s="68" t="s">
        <v>36</v>
      </c>
    </row>
    <row r="96" spans="1:36" x14ac:dyDescent="0.2">
      <c r="A96" s="61">
        <v>4</v>
      </c>
      <c r="B96" s="17" t="s">
        <v>116</v>
      </c>
      <c r="C96" s="55" t="str">
        <f>VLOOKUP(B96,[1]Worksheet!$B$6:$C$153,2,0)</f>
        <v>SSI063</v>
      </c>
      <c r="D96" s="17"/>
      <c r="E96" s="16">
        <v>1</v>
      </c>
      <c r="F96" s="16">
        <v>1</v>
      </c>
      <c r="G96" s="56">
        <v>1</v>
      </c>
      <c r="H96" s="16">
        <v>1</v>
      </c>
      <c r="I96" s="16">
        <v>1</v>
      </c>
      <c r="J96" s="16">
        <v>1</v>
      </c>
      <c r="K96" s="16">
        <v>1</v>
      </c>
      <c r="L96" s="16">
        <v>1</v>
      </c>
      <c r="M96" s="16">
        <v>1</v>
      </c>
      <c r="N96" s="56">
        <v>1</v>
      </c>
      <c r="O96" s="16">
        <v>1</v>
      </c>
      <c r="P96" s="16">
        <v>1</v>
      </c>
      <c r="Q96" s="16">
        <v>1</v>
      </c>
      <c r="R96" s="16">
        <v>1</v>
      </c>
      <c r="S96" s="16">
        <v>1</v>
      </c>
      <c r="T96" s="16">
        <v>1</v>
      </c>
      <c r="U96" s="56">
        <v>1</v>
      </c>
      <c r="V96" s="16">
        <v>1</v>
      </c>
      <c r="W96" s="16">
        <v>1</v>
      </c>
      <c r="X96" s="16">
        <v>1</v>
      </c>
      <c r="Y96" s="16">
        <v>1</v>
      </c>
      <c r="Z96" s="16">
        <v>1</v>
      </c>
      <c r="AA96" s="16">
        <v>1</v>
      </c>
      <c r="AB96" s="56">
        <v>1</v>
      </c>
      <c r="AC96" s="16">
        <v>1</v>
      </c>
      <c r="AD96" s="16">
        <v>1</v>
      </c>
      <c r="AE96" s="16">
        <v>1</v>
      </c>
      <c r="AF96" s="16">
        <v>1</v>
      </c>
      <c r="AG96" s="16"/>
      <c r="AH96" s="16">
        <v>2</v>
      </c>
      <c r="AI96" s="57">
        <f t="shared" si="4"/>
        <v>30</v>
      </c>
      <c r="AJ96" s="68" t="s">
        <v>36</v>
      </c>
    </row>
    <row r="97" spans="1:37" x14ac:dyDescent="0.2">
      <c r="A97" s="61">
        <v>5</v>
      </c>
      <c r="B97" s="17" t="s">
        <v>117</v>
      </c>
      <c r="C97" s="55" t="str">
        <f>VLOOKUP(B97,[1]Worksheet!$B$6:$C$153,2,0)</f>
        <v>SSI064</v>
      </c>
      <c r="D97" s="17"/>
      <c r="E97" s="16">
        <v>1</v>
      </c>
      <c r="F97" s="56">
        <v>2</v>
      </c>
      <c r="G97" s="16">
        <v>1</v>
      </c>
      <c r="H97" s="16">
        <v>1</v>
      </c>
      <c r="I97" s="16">
        <v>1</v>
      </c>
      <c r="J97" s="16">
        <v>1</v>
      </c>
      <c r="K97" s="56">
        <v>1</v>
      </c>
      <c r="L97" s="16">
        <v>1</v>
      </c>
      <c r="M97" s="16">
        <v>1</v>
      </c>
      <c r="N97" s="16">
        <v>1</v>
      </c>
      <c r="O97" s="16">
        <v>1</v>
      </c>
      <c r="P97" s="16">
        <v>1</v>
      </c>
      <c r="Q97" s="56">
        <v>2</v>
      </c>
      <c r="R97" s="56">
        <v>1</v>
      </c>
      <c r="S97" s="16">
        <v>1</v>
      </c>
      <c r="T97" s="16">
        <v>1</v>
      </c>
      <c r="U97" s="16">
        <v>1</v>
      </c>
      <c r="V97" s="16">
        <v>1</v>
      </c>
      <c r="W97" s="16">
        <v>1</v>
      </c>
      <c r="X97" s="56">
        <v>2</v>
      </c>
      <c r="Y97" s="56">
        <v>1</v>
      </c>
      <c r="Z97" s="56">
        <v>2</v>
      </c>
      <c r="AA97" s="16">
        <v>1</v>
      </c>
      <c r="AB97" s="16">
        <v>1</v>
      </c>
      <c r="AC97" s="16">
        <v>1</v>
      </c>
      <c r="AD97" s="16">
        <v>1</v>
      </c>
      <c r="AE97" s="16">
        <v>1</v>
      </c>
      <c r="AF97" s="16">
        <v>1</v>
      </c>
      <c r="AG97" s="16">
        <v>1</v>
      </c>
      <c r="AH97" s="16">
        <v>1</v>
      </c>
      <c r="AI97" s="57">
        <f t="shared" si="4"/>
        <v>34</v>
      </c>
      <c r="AJ97" s="19" t="s">
        <v>27</v>
      </c>
    </row>
    <row r="98" spans="1:37" ht="15" customHeight="1" x14ac:dyDescent="0.2">
      <c r="A98" s="61">
        <v>6</v>
      </c>
      <c r="B98" s="17" t="s">
        <v>118</v>
      </c>
      <c r="C98" s="55" t="str">
        <f>VLOOKUP(B98,[1]Worksheet!$B$6:$C$153,2,0)</f>
        <v>SSI065</v>
      </c>
      <c r="D98" s="17"/>
      <c r="E98" s="16">
        <v>1</v>
      </c>
      <c r="F98" s="16">
        <v>1</v>
      </c>
      <c r="G98" s="16">
        <v>1</v>
      </c>
      <c r="H98" s="16">
        <v>1</v>
      </c>
      <c r="I98" s="16">
        <v>1</v>
      </c>
      <c r="J98" s="16">
        <v>1</v>
      </c>
      <c r="K98" s="56">
        <v>1</v>
      </c>
      <c r="L98" s="16">
        <v>1</v>
      </c>
      <c r="M98" s="16"/>
      <c r="N98" s="16">
        <v>1</v>
      </c>
      <c r="O98" s="16">
        <v>1</v>
      </c>
      <c r="P98" s="16">
        <v>1</v>
      </c>
      <c r="Q98" s="16">
        <v>1</v>
      </c>
      <c r="R98" s="56">
        <v>1</v>
      </c>
      <c r="S98" s="16">
        <v>1</v>
      </c>
      <c r="T98" s="56">
        <v>2</v>
      </c>
      <c r="U98" s="16">
        <v>1</v>
      </c>
      <c r="V98" s="16">
        <v>1</v>
      </c>
      <c r="W98" s="16">
        <v>1</v>
      </c>
      <c r="X98" s="16">
        <v>1</v>
      </c>
      <c r="Y98" s="56">
        <v>1</v>
      </c>
      <c r="Z98" s="16">
        <v>1</v>
      </c>
      <c r="AA98" s="16">
        <v>1</v>
      </c>
      <c r="AB98" s="16">
        <v>1</v>
      </c>
      <c r="AC98" s="16">
        <v>1</v>
      </c>
      <c r="AD98" s="16">
        <v>1</v>
      </c>
      <c r="AE98" s="16">
        <v>1</v>
      </c>
      <c r="AF98" s="16">
        <v>1</v>
      </c>
      <c r="AG98" s="16">
        <v>1</v>
      </c>
      <c r="AH98" s="16"/>
      <c r="AI98" s="57">
        <f t="shared" si="4"/>
        <v>29</v>
      </c>
      <c r="AJ98" s="19" t="s">
        <v>27</v>
      </c>
    </row>
    <row r="99" spans="1:37" x14ac:dyDescent="0.2">
      <c r="A99" s="61">
        <v>7</v>
      </c>
      <c r="B99" s="17" t="s">
        <v>119</v>
      </c>
      <c r="C99" s="55" t="str">
        <f>VLOOKUP(B99,[1]Worksheet!$B$6:$C$153,2,0)</f>
        <v>SSI066</v>
      </c>
      <c r="D99" s="17"/>
      <c r="E99" s="16">
        <v>1</v>
      </c>
      <c r="F99" s="16"/>
      <c r="G99" s="16"/>
      <c r="H99" s="16">
        <v>1</v>
      </c>
      <c r="I99" s="56">
        <v>1</v>
      </c>
      <c r="J99" s="16">
        <v>1</v>
      </c>
      <c r="K99" s="16">
        <v>1</v>
      </c>
      <c r="L99" s="16">
        <v>1</v>
      </c>
      <c r="M99" s="16">
        <v>1</v>
      </c>
      <c r="N99" s="16">
        <v>1</v>
      </c>
      <c r="O99" s="16">
        <v>1</v>
      </c>
      <c r="P99" s="56">
        <v>1</v>
      </c>
      <c r="Q99" s="16">
        <v>1</v>
      </c>
      <c r="R99" s="16">
        <v>1</v>
      </c>
      <c r="S99" s="16">
        <v>1</v>
      </c>
      <c r="T99" s="16"/>
      <c r="U99" s="16">
        <v>1</v>
      </c>
      <c r="V99" s="16">
        <v>1</v>
      </c>
      <c r="W99" s="56">
        <v>1</v>
      </c>
      <c r="X99" s="16">
        <v>1</v>
      </c>
      <c r="Y99" s="16">
        <v>1</v>
      </c>
      <c r="Z99" s="16"/>
      <c r="AA99" s="56">
        <v>3</v>
      </c>
      <c r="AB99" s="16">
        <v>1</v>
      </c>
      <c r="AC99" s="16">
        <v>1</v>
      </c>
      <c r="AD99" s="16">
        <v>1</v>
      </c>
      <c r="AE99" s="16">
        <v>1</v>
      </c>
      <c r="AF99" s="16">
        <v>1</v>
      </c>
      <c r="AG99" s="16">
        <v>1</v>
      </c>
      <c r="AH99" s="16">
        <v>1</v>
      </c>
      <c r="AI99" s="57">
        <f t="shared" si="4"/>
        <v>28</v>
      </c>
      <c r="AJ99" s="19" t="s">
        <v>25</v>
      </c>
    </row>
    <row r="100" spans="1:37" x14ac:dyDescent="0.2">
      <c r="A100" s="61">
        <v>8</v>
      </c>
      <c r="B100" s="17" t="s">
        <v>120</v>
      </c>
      <c r="C100" s="55" t="e">
        <f>VLOOKUP(B100,[1]Worksheet!$B$6:$C$153,2,0)</f>
        <v>#N/A</v>
      </c>
      <c r="D100" s="17" t="s">
        <v>222</v>
      </c>
      <c r="E100" s="16">
        <v>1</v>
      </c>
      <c r="F100" s="16"/>
      <c r="G100" s="16"/>
      <c r="H100" s="16"/>
      <c r="I100" s="16">
        <v>1</v>
      </c>
      <c r="J100" s="16"/>
      <c r="K100" s="16">
        <v>1</v>
      </c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57">
        <f t="shared" si="4"/>
        <v>3</v>
      </c>
      <c r="AJ100" s="19"/>
    </row>
    <row r="101" spans="1:37" x14ac:dyDescent="0.2">
      <c r="A101" s="61"/>
      <c r="B101" s="17"/>
      <c r="C101" s="17"/>
      <c r="D101" s="17"/>
      <c r="E101" s="16">
        <v>1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55"/>
      <c r="AJ101" s="19"/>
    </row>
    <row r="102" spans="1:37" ht="15" thickBot="1" x14ac:dyDescent="0.25">
      <c r="A102" s="45"/>
      <c r="B102" s="46"/>
      <c r="C102" s="46"/>
      <c r="D102" s="46"/>
      <c r="E102" s="70"/>
      <c r="F102" s="71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49">
        <f>SUM(AI93:AI99)</f>
        <v>208.5</v>
      </c>
      <c r="AJ102" s="19"/>
    </row>
    <row r="103" spans="1:37" x14ac:dyDescent="0.2">
      <c r="A103" s="29"/>
      <c r="B103" s="6"/>
      <c r="C103" s="6"/>
      <c r="D103" s="6"/>
      <c r="E103" s="30"/>
      <c r="F103" s="31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66"/>
      <c r="AJ103" s="19"/>
    </row>
    <row r="104" spans="1:37" x14ac:dyDescent="0.2">
      <c r="A104" s="29"/>
      <c r="B104" s="6"/>
      <c r="C104" s="6"/>
      <c r="D104" s="6"/>
      <c r="E104" s="30"/>
      <c r="F104" s="31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66"/>
      <c r="AJ104" s="19"/>
    </row>
    <row r="105" spans="1:37" x14ac:dyDescent="0.2">
      <c r="A105" s="29"/>
      <c r="B105" s="6"/>
      <c r="C105" s="6"/>
      <c r="D105" s="6"/>
      <c r="E105" s="30"/>
      <c r="F105" s="31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66"/>
      <c r="AJ105" s="19"/>
    </row>
    <row r="106" spans="1:37" x14ac:dyDescent="0.2">
      <c r="A106" s="3" t="s">
        <v>41</v>
      </c>
      <c r="E106" s="52"/>
      <c r="F106" s="53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32"/>
    </row>
    <row r="107" spans="1:37" ht="14.25" customHeight="1" x14ac:dyDescent="0.2">
      <c r="A107" s="8" t="s">
        <v>6</v>
      </c>
      <c r="B107" s="33" t="s">
        <v>7</v>
      </c>
      <c r="C107" s="33"/>
      <c r="D107" s="33"/>
      <c r="E107" s="10" t="s">
        <v>8</v>
      </c>
      <c r="F107" s="11" t="s">
        <v>9</v>
      </c>
      <c r="G107" s="10" t="s">
        <v>10</v>
      </c>
      <c r="H107" s="10" t="s">
        <v>11</v>
      </c>
      <c r="I107" s="10" t="s">
        <v>12</v>
      </c>
      <c r="J107" s="10" t="s">
        <v>13</v>
      </c>
      <c r="K107" s="12" t="s">
        <v>14</v>
      </c>
      <c r="L107" s="10" t="s">
        <v>8</v>
      </c>
      <c r="M107" s="11" t="s">
        <v>9</v>
      </c>
      <c r="N107" s="10" t="s">
        <v>10</v>
      </c>
      <c r="O107" s="10" t="s">
        <v>11</v>
      </c>
      <c r="P107" s="10" t="s">
        <v>12</v>
      </c>
      <c r="Q107" s="10" t="s">
        <v>13</v>
      </c>
      <c r="R107" s="12" t="s">
        <v>14</v>
      </c>
      <c r="S107" s="10" t="s">
        <v>8</v>
      </c>
      <c r="T107" s="11" t="s">
        <v>9</v>
      </c>
      <c r="U107" s="10" t="s">
        <v>10</v>
      </c>
      <c r="V107" s="10" t="s">
        <v>11</v>
      </c>
      <c r="W107" s="10" t="s">
        <v>12</v>
      </c>
      <c r="X107" s="10" t="s">
        <v>13</v>
      </c>
      <c r="Y107" s="12" t="s">
        <v>14</v>
      </c>
      <c r="Z107" s="10" t="s">
        <v>8</v>
      </c>
      <c r="AA107" s="11" t="s">
        <v>9</v>
      </c>
      <c r="AB107" s="10" t="s">
        <v>10</v>
      </c>
      <c r="AC107" s="10" t="s">
        <v>11</v>
      </c>
      <c r="AD107" s="10" t="s">
        <v>12</v>
      </c>
      <c r="AE107" s="10" t="s">
        <v>13</v>
      </c>
      <c r="AF107" s="12" t="s">
        <v>14</v>
      </c>
      <c r="AG107" s="10" t="s">
        <v>8</v>
      </c>
      <c r="AH107" s="11" t="s">
        <v>9</v>
      </c>
      <c r="AI107" s="133" t="s">
        <v>15</v>
      </c>
    </row>
    <row r="108" spans="1:37" ht="14.25" customHeight="1" x14ac:dyDescent="0.25">
      <c r="A108" s="8"/>
      <c r="B108" s="34" t="s">
        <v>42</v>
      </c>
      <c r="C108" s="34"/>
      <c r="D108" s="34"/>
      <c r="E108" s="15">
        <v>1</v>
      </c>
      <c r="F108" s="15">
        <v>2</v>
      </c>
      <c r="G108" s="15">
        <v>3</v>
      </c>
      <c r="H108" s="15">
        <v>4</v>
      </c>
      <c r="I108" s="15">
        <v>5</v>
      </c>
      <c r="J108" s="15">
        <v>6</v>
      </c>
      <c r="K108" s="15">
        <v>7</v>
      </c>
      <c r="L108" s="15">
        <v>8</v>
      </c>
      <c r="M108" s="15">
        <v>9</v>
      </c>
      <c r="N108" s="15">
        <v>10</v>
      </c>
      <c r="O108" s="15">
        <v>11</v>
      </c>
      <c r="P108" s="15">
        <v>12</v>
      </c>
      <c r="Q108" s="15">
        <v>13</v>
      </c>
      <c r="R108" s="15">
        <v>14</v>
      </c>
      <c r="S108" s="15">
        <v>15</v>
      </c>
      <c r="T108" s="15">
        <v>16</v>
      </c>
      <c r="U108" s="15">
        <v>17</v>
      </c>
      <c r="V108" s="15">
        <v>18</v>
      </c>
      <c r="W108" s="15">
        <v>19</v>
      </c>
      <c r="X108" s="15">
        <v>20</v>
      </c>
      <c r="Y108" s="15">
        <v>21</v>
      </c>
      <c r="Z108" s="15">
        <v>22</v>
      </c>
      <c r="AA108" s="15">
        <v>23</v>
      </c>
      <c r="AB108" s="15">
        <v>24</v>
      </c>
      <c r="AC108" s="15">
        <v>25</v>
      </c>
      <c r="AD108" s="15">
        <v>26</v>
      </c>
      <c r="AE108" s="15">
        <v>27</v>
      </c>
      <c r="AF108" s="15">
        <v>28</v>
      </c>
      <c r="AG108" s="15">
        <v>29</v>
      </c>
      <c r="AH108" s="15">
        <v>30</v>
      </c>
      <c r="AI108" s="134"/>
    </row>
    <row r="109" spans="1:37" s="58" customFormat="1" ht="13.5" customHeight="1" x14ac:dyDescent="0.2">
      <c r="A109" s="61">
        <v>1</v>
      </c>
      <c r="B109" s="131" t="s">
        <v>207</v>
      </c>
      <c r="C109" s="42" t="str">
        <f>VLOOKUP(B109,[1]Worksheet!$B$6:$C$153,2,0)</f>
        <v>SSI068</v>
      </c>
      <c r="D109" s="42"/>
      <c r="E109" s="72">
        <v>0.5</v>
      </c>
      <c r="F109" s="72">
        <v>0.5</v>
      </c>
      <c r="G109" s="73">
        <v>1</v>
      </c>
      <c r="H109" s="73">
        <v>1</v>
      </c>
      <c r="I109" s="73">
        <v>1</v>
      </c>
      <c r="J109" s="16">
        <v>1</v>
      </c>
      <c r="K109" s="16">
        <v>1</v>
      </c>
      <c r="L109" s="16">
        <v>1</v>
      </c>
      <c r="M109" s="16">
        <v>1</v>
      </c>
      <c r="N109" s="73"/>
      <c r="O109" s="73"/>
      <c r="P109" s="73"/>
      <c r="Q109" s="73">
        <v>1</v>
      </c>
      <c r="R109" s="73">
        <v>1</v>
      </c>
      <c r="S109" s="73">
        <v>1</v>
      </c>
      <c r="T109" s="16">
        <v>1</v>
      </c>
      <c r="U109" s="73">
        <v>1</v>
      </c>
      <c r="V109" s="16">
        <v>1</v>
      </c>
      <c r="W109" s="16">
        <v>1</v>
      </c>
      <c r="X109" s="16">
        <v>1</v>
      </c>
      <c r="Y109" s="73">
        <v>1</v>
      </c>
      <c r="Z109" s="73">
        <v>1</v>
      </c>
      <c r="AA109" s="16">
        <v>1</v>
      </c>
      <c r="AB109" s="16">
        <v>1</v>
      </c>
      <c r="AC109" s="16">
        <v>1</v>
      </c>
      <c r="AD109" s="73">
        <v>1</v>
      </c>
      <c r="AE109" s="16">
        <v>1</v>
      </c>
      <c r="AF109" s="16">
        <v>1</v>
      </c>
      <c r="AG109" s="16">
        <v>1</v>
      </c>
      <c r="AH109" s="16"/>
      <c r="AI109" s="57">
        <f t="shared" ref="AI109:AI118" si="5">SUM(E109:AH109)</f>
        <v>25</v>
      </c>
      <c r="AJ109" s="74" t="s">
        <v>35</v>
      </c>
      <c r="AK109" s="58" t="s">
        <v>43</v>
      </c>
    </row>
    <row r="110" spans="1:37" x14ac:dyDescent="0.2">
      <c r="A110" s="61">
        <v>2</v>
      </c>
      <c r="B110" s="17" t="s">
        <v>121</v>
      </c>
      <c r="C110" s="42" t="str">
        <f>VLOOKUP(B110,[1]Worksheet!$B$6:$C$153,2,0)</f>
        <v>SSI069</v>
      </c>
      <c r="D110" s="17"/>
      <c r="E110" s="16">
        <v>1</v>
      </c>
      <c r="F110" s="16">
        <v>1</v>
      </c>
      <c r="G110" s="16">
        <v>1</v>
      </c>
      <c r="H110" s="56">
        <v>1.5</v>
      </c>
      <c r="I110" s="56">
        <v>1.5</v>
      </c>
      <c r="J110" s="16">
        <v>1</v>
      </c>
      <c r="K110" s="16"/>
      <c r="L110" s="16">
        <v>1</v>
      </c>
      <c r="M110" s="16">
        <v>1</v>
      </c>
      <c r="N110" s="56">
        <v>1.5</v>
      </c>
      <c r="O110" s="16">
        <v>1</v>
      </c>
      <c r="P110" s="16">
        <v>1</v>
      </c>
      <c r="Q110" s="16">
        <v>1</v>
      </c>
      <c r="R110" s="16">
        <v>1</v>
      </c>
      <c r="S110" s="16">
        <v>1</v>
      </c>
      <c r="T110" s="16">
        <v>1</v>
      </c>
      <c r="U110" s="16">
        <v>1</v>
      </c>
      <c r="V110" s="16">
        <v>1</v>
      </c>
      <c r="W110" s="16">
        <v>1</v>
      </c>
      <c r="X110" s="16">
        <v>1</v>
      </c>
      <c r="Y110" s="16">
        <v>1</v>
      </c>
      <c r="Z110" s="16">
        <v>1</v>
      </c>
      <c r="AA110" s="16">
        <v>1</v>
      </c>
      <c r="AB110" s="16">
        <v>1</v>
      </c>
      <c r="AC110" s="16">
        <v>1</v>
      </c>
      <c r="AD110" s="16">
        <v>1</v>
      </c>
      <c r="AE110" s="16">
        <v>1</v>
      </c>
      <c r="AF110" s="16">
        <v>1</v>
      </c>
      <c r="AG110" s="16">
        <v>1</v>
      </c>
      <c r="AH110" s="16">
        <v>1</v>
      </c>
      <c r="AI110" s="57">
        <f t="shared" si="5"/>
        <v>30.5</v>
      </c>
      <c r="AJ110" s="75" t="s">
        <v>33</v>
      </c>
    </row>
    <row r="111" spans="1:37" ht="14.25" customHeight="1" x14ac:dyDescent="0.2">
      <c r="A111" s="61">
        <v>3</v>
      </c>
      <c r="B111" s="17" t="s">
        <v>122</v>
      </c>
      <c r="C111" s="42" t="str">
        <f>VLOOKUP(B111,[1]Worksheet!$B$6:$C$153,2,0)</f>
        <v>SSI070</v>
      </c>
      <c r="D111" s="17"/>
      <c r="E111" s="16">
        <v>1</v>
      </c>
      <c r="F111" s="76">
        <v>1</v>
      </c>
      <c r="G111" s="16">
        <v>1</v>
      </c>
      <c r="H111" s="16">
        <v>1</v>
      </c>
      <c r="I111" s="56">
        <v>2</v>
      </c>
      <c r="J111" s="16">
        <v>1</v>
      </c>
      <c r="K111" s="16">
        <v>1</v>
      </c>
      <c r="L111" s="16">
        <v>1</v>
      </c>
      <c r="M111" s="16">
        <v>1</v>
      </c>
      <c r="N111" s="56">
        <v>2</v>
      </c>
      <c r="O111" s="16">
        <v>1</v>
      </c>
      <c r="P111" s="16">
        <v>1</v>
      </c>
      <c r="Q111" s="16">
        <v>1</v>
      </c>
      <c r="R111" s="16">
        <v>1</v>
      </c>
      <c r="S111" s="16">
        <v>1</v>
      </c>
      <c r="T111" s="16">
        <v>1</v>
      </c>
      <c r="U111" s="16">
        <v>1</v>
      </c>
      <c r="V111" s="16">
        <v>1</v>
      </c>
      <c r="W111" s="16">
        <v>1</v>
      </c>
      <c r="X111" s="16">
        <v>1</v>
      </c>
      <c r="Y111" s="56">
        <v>2</v>
      </c>
      <c r="Z111" s="16">
        <v>1</v>
      </c>
      <c r="AA111" s="16">
        <v>1</v>
      </c>
      <c r="AB111" s="16">
        <v>1</v>
      </c>
      <c r="AC111" s="16">
        <v>1</v>
      </c>
      <c r="AD111" s="56">
        <v>2</v>
      </c>
      <c r="AE111" s="16">
        <v>1</v>
      </c>
      <c r="AF111" s="16">
        <v>1</v>
      </c>
      <c r="AG111" s="16">
        <v>1</v>
      </c>
      <c r="AH111" s="16">
        <v>1</v>
      </c>
      <c r="AI111" s="57">
        <f t="shared" si="5"/>
        <v>34</v>
      </c>
      <c r="AJ111" s="19" t="s">
        <v>25</v>
      </c>
    </row>
    <row r="112" spans="1:37" x14ac:dyDescent="0.2">
      <c r="A112" s="61">
        <v>4</v>
      </c>
      <c r="B112" s="132" t="s">
        <v>208</v>
      </c>
      <c r="C112" s="42" t="str">
        <f>VLOOKUP(B112,[1]Worksheet!$B$6:$C$153,2,0)</f>
        <v>SSI071</v>
      </c>
      <c r="D112" s="17"/>
      <c r="E112" s="16">
        <v>1</v>
      </c>
      <c r="F112" s="53">
        <v>1</v>
      </c>
      <c r="G112" s="16">
        <v>1</v>
      </c>
      <c r="H112" s="16">
        <v>1</v>
      </c>
      <c r="I112" s="16"/>
      <c r="J112" s="16">
        <v>1</v>
      </c>
      <c r="K112" s="16">
        <v>1</v>
      </c>
      <c r="L112" s="16">
        <v>1</v>
      </c>
      <c r="M112" s="16"/>
      <c r="N112" s="16"/>
      <c r="O112" s="16">
        <v>1</v>
      </c>
      <c r="P112" s="16">
        <v>1</v>
      </c>
      <c r="Q112" s="16">
        <v>1</v>
      </c>
      <c r="R112" s="16">
        <v>1</v>
      </c>
      <c r="S112" s="16">
        <v>1</v>
      </c>
      <c r="T112" s="16">
        <v>1</v>
      </c>
      <c r="U112" s="16">
        <v>1</v>
      </c>
      <c r="V112" s="16">
        <v>1</v>
      </c>
      <c r="W112" s="16">
        <v>1</v>
      </c>
      <c r="X112" s="16">
        <v>1</v>
      </c>
      <c r="Y112" s="16">
        <v>1</v>
      </c>
      <c r="Z112" s="16">
        <v>1</v>
      </c>
      <c r="AA112" s="16">
        <v>1</v>
      </c>
      <c r="AB112" s="16">
        <v>1</v>
      </c>
      <c r="AC112" s="16">
        <v>1</v>
      </c>
      <c r="AD112" s="16"/>
      <c r="AE112" s="16">
        <v>1</v>
      </c>
      <c r="AF112" s="16">
        <v>1</v>
      </c>
      <c r="AG112" s="16">
        <v>1</v>
      </c>
      <c r="AH112" s="16">
        <v>1</v>
      </c>
      <c r="AI112" s="57">
        <f t="shared" si="5"/>
        <v>26</v>
      </c>
      <c r="AJ112" s="19" t="s">
        <v>33</v>
      </c>
    </row>
    <row r="113" spans="1:46" x14ac:dyDescent="0.2">
      <c r="A113" s="61">
        <v>5</v>
      </c>
      <c r="B113" s="17" t="s">
        <v>123</v>
      </c>
      <c r="C113" s="42" t="str">
        <f>VLOOKUP(B113,[1]Worksheet!$B$6:$C$153,2,0)</f>
        <v>SSI072</v>
      </c>
      <c r="D113" s="17"/>
      <c r="E113" s="16">
        <v>1</v>
      </c>
      <c r="F113" s="56">
        <v>2</v>
      </c>
      <c r="G113" s="16">
        <v>1</v>
      </c>
      <c r="H113" s="56">
        <v>2</v>
      </c>
      <c r="I113" s="16">
        <v>1</v>
      </c>
      <c r="J113" s="56">
        <v>2</v>
      </c>
      <c r="K113" s="16">
        <v>1</v>
      </c>
      <c r="L113" s="56">
        <v>2</v>
      </c>
      <c r="M113" s="16">
        <v>1</v>
      </c>
      <c r="N113" s="56">
        <v>2</v>
      </c>
      <c r="O113" s="16">
        <v>1</v>
      </c>
      <c r="P113" s="16">
        <v>1</v>
      </c>
      <c r="Q113" s="56">
        <v>2</v>
      </c>
      <c r="R113" s="16">
        <v>1</v>
      </c>
      <c r="S113" s="16">
        <v>1</v>
      </c>
      <c r="T113" s="56">
        <v>2</v>
      </c>
      <c r="U113" s="16">
        <v>1</v>
      </c>
      <c r="V113" s="56">
        <v>2</v>
      </c>
      <c r="W113" s="56">
        <v>2</v>
      </c>
      <c r="X113" s="16">
        <v>1</v>
      </c>
      <c r="Y113" s="16"/>
      <c r="Z113" s="16"/>
      <c r="AA113" s="16"/>
      <c r="AB113" s="16"/>
      <c r="AC113" s="16">
        <v>1</v>
      </c>
      <c r="AD113" s="56">
        <v>2</v>
      </c>
      <c r="AE113" s="56">
        <v>2</v>
      </c>
      <c r="AF113" s="16">
        <v>1</v>
      </c>
      <c r="AG113" s="16">
        <v>1</v>
      </c>
      <c r="AH113" s="56">
        <v>2</v>
      </c>
      <c r="AI113" s="57">
        <f t="shared" si="5"/>
        <v>38</v>
      </c>
      <c r="AJ113" s="19" t="s">
        <v>28</v>
      </c>
    </row>
    <row r="114" spans="1:46" x14ac:dyDescent="0.2">
      <c r="A114" s="61">
        <v>6</v>
      </c>
      <c r="B114" s="17" t="s">
        <v>209</v>
      </c>
      <c r="C114" s="42" t="str">
        <f>VLOOKUP(B114,[1]Worksheet!$B$6:$C$153,2,0)</f>
        <v>SSI073</v>
      </c>
      <c r="D114" s="17"/>
      <c r="E114" s="16">
        <v>1</v>
      </c>
      <c r="F114" s="77"/>
      <c r="G114" s="16"/>
      <c r="H114" s="16"/>
      <c r="I114" s="16"/>
      <c r="J114" s="16"/>
      <c r="K114" s="16"/>
      <c r="L114" s="16">
        <v>1</v>
      </c>
      <c r="M114" s="16">
        <v>1</v>
      </c>
      <c r="N114" s="16">
        <v>1</v>
      </c>
      <c r="O114" s="16">
        <v>1</v>
      </c>
      <c r="P114" s="16">
        <v>1</v>
      </c>
      <c r="Q114" s="16">
        <v>1</v>
      </c>
      <c r="R114" s="16">
        <v>1</v>
      </c>
      <c r="S114" s="16">
        <v>1</v>
      </c>
      <c r="T114" s="16">
        <v>1</v>
      </c>
      <c r="U114" s="16">
        <v>1</v>
      </c>
      <c r="V114" s="16">
        <v>1</v>
      </c>
      <c r="W114" s="30">
        <v>1</v>
      </c>
      <c r="X114" s="30">
        <v>1</v>
      </c>
      <c r="Y114" s="16"/>
      <c r="Z114" s="16">
        <v>1</v>
      </c>
      <c r="AA114" s="21">
        <v>1</v>
      </c>
      <c r="AB114" s="16">
        <v>1</v>
      </c>
      <c r="AC114" s="16">
        <v>1</v>
      </c>
      <c r="AD114" s="16">
        <v>1</v>
      </c>
      <c r="AE114" s="16">
        <v>1</v>
      </c>
      <c r="AF114" s="16">
        <v>1</v>
      </c>
      <c r="AG114" s="16">
        <v>1</v>
      </c>
      <c r="AH114" s="16"/>
      <c r="AI114" s="57">
        <f t="shared" si="5"/>
        <v>22</v>
      </c>
      <c r="AJ114" s="3" t="s">
        <v>26</v>
      </c>
    </row>
    <row r="115" spans="1:46" x14ac:dyDescent="0.2">
      <c r="A115" s="61">
        <v>7</v>
      </c>
      <c r="B115" s="17" t="s">
        <v>124</v>
      </c>
      <c r="C115" s="42" t="str">
        <f>VLOOKUP(B115,[1]Worksheet!$B$6:$C$153,2,0)</f>
        <v>SSI074</v>
      </c>
      <c r="D115" s="17"/>
      <c r="E115" s="16">
        <v>1</v>
      </c>
      <c r="F115" s="61">
        <v>1</v>
      </c>
      <c r="G115" s="16">
        <v>1</v>
      </c>
      <c r="H115" s="16">
        <v>1</v>
      </c>
      <c r="I115" s="16">
        <v>1</v>
      </c>
      <c r="J115" s="16">
        <v>1</v>
      </c>
      <c r="K115" s="16">
        <v>1</v>
      </c>
      <c r="L115" s="16">
        <v>1</v>
      </c>
      <c r="M115" s="16">
        <v>2</v>
      </c>
      <c r="N115" s="16">
        <v>1</v>
      </c>
      <c r="O115" s="16">
        <v>1</v>
      </c>
      <c r="P115" s="16">
        <v>1</v>
      </c>
      <c r="Q115" s="16">
        <v>1</v>
      </c>
      <c r="R115" s="16">
        <v>1</v>
      </c>
      <c r="S115" s="16">
        <v>1</v>
      </c>
      <c r="T115" s="16">
        <v>1</v>
      </c>
      <c r="U115" s="16">
        <v>1</v>
      </c>
      <c r="V115" s="16">
        <v>1</v>
      </c>
      <c r="W115" s="16">
        <v>1</v>
      </c>
      <c r="X115" s="16">
        <v>1</v>
      </c>
      <c r="Y115" s="56">
        <v>1.5</v>
      </c>
      <c r="Z115" s="61">
        <v>1</v>
      </c>
      <c r="AA115" s="16">
        <v>1</v>
      </c>
      <c r="AB115" s="16">
        <v>1</v>
      </c>
      <c r="AC115" s="16">
        <v>1</v>
      </c>
      <c r="AD115" s="16">
        <v>1</v>
      </c>
      <c r="AE115" s="16">
        <v>1</v>
      </c>
      <c r="AF115" s="16">
        <v>1</v>
      </c>
      <c r="AG115" s="16">
        <v>1</v>
      </c>
      <c r="AH115" s="16">
        <v>1</v>
      </c>
      <c r="AI115" s="55">
        <f t="shared" si="5"/>
        <v>31.5</v>
      </c>
      <c r="AJ115" s="19" t="s">
        <v>26</v>
      </c>
    </row>
    <row r="116" spans="1:46" x14ac:dyDescent="0.2">
      <c r="A116" s="61">
        <v>8</v>
      </c>
      <c r="B116" s="17" t="s">
        <v>125</v>
      </c>
      <c r="C116" s="42" t="str">
        <f>VLOOKUP(B116,[1]Worksheet!$B$6:$C$153,2,0)</f>
        <v>SSI075</v>
      </c>
      <c r="D116" s="17"/>
      <c r="E116" s="16">
        <v>1</v>
      </c>
      <c r="F116" s="16">
        <v>2</v>
      </c>
      <c r="G116" s="16">
        <v>1</v>
      </c>
      <c r="H116" s="16"/>
      <c r="I116" s="16"/>
      <c r="J116" s="16"/>
      <c r="K116" s="16"/>
      <c r="L116" s="16">
        <v>1</v>
      </c>
      <c r="M116" s="16">
        <v>1</v>
      </c>
      <c r="N116" s="16">
        <v>1</v>
      </c>
      <c r="O116" s="56">
        <v>2</v>
      </c>
      <c r="P116" s="16">
        <v>1</v>
      </c>
      <c r="Q116" s="16">
        <v>1</v>
      </c>
      <c r="R116" s="56">
        <v>1.5</v>
      </c>
      <c r="S116" s="16">
        <v>1</v>
      </c>
      <c r="T116" s="16">
        <v>1</v>
      </c>
      <c r="U116" s="56">
        <v>2</v>
      </c>
      <c r="V116" s="16">
        <v>1</v>
      </c>
      <c r="W116" s="16">
        <v>1</v>
      </c>
      <c r="X116" s="56">
        <v>2</v>
      </c>
      <c r="Y116" s="56">
        <v>2</v>
      </c>
      <c r="Z116" s="56">
        <v>1.5</v>
      </c>
      <c r="AA116" s="56">
        <v>2</v>
      </c>
      <c r="AB116" s="56">
        <v>1.5</v>
      </c>
      <c r="AC116" s="56">
        <v>2</v>
      </c>
      <c r="AD116" s="16"/>
      <c r="AE116" s="16">
        <v>1</v>
      </c>
      <c r="AF116" s="56">
        <v>2</v>
      </c>
      <c r="AG116" s="56">
        <v>2</v>
      </c>
      <c r="AH116" s="16">
        <v>1</v>
      </c>
      <c r="AI116" s="57">
        <f t="shared" si="5"/>
        <v>35.5</v>
      </c>
      <c r="AJ116" s="19" t="s">
        <v>28</v>
      </c>
    </row>
    <row r="117" spans="1:46" ht="13.5" customHeight="1" x14ac:dyDescent="0.2">
      <c r="A117" s="61">
        <v>9</v>
      </c>
      <c r="B117" s="17" t="s">
        <v>179</v>
      </c>
      <c r="C117" s="42" t="str">
        <f>VLOOKUP(B117,[1]Worksheet!$B$6:$C$153,2,0)</f>
        <v>SSI076</v>
      </c>
      <c r="D117" s="17"/>
      <c r="E117" s="16"/>
      <c r="F117" s="16"/>
      <c r="G117" s="16">
        <v>1</v>
      </c>
      <c r="H117" s="16">
        <v>1</v>
      </c>
      <c r="I117" s="56">
        <v>1.5</v>
      </c>
      <c r="J117" s="16">
        <v>1</v>
      </c>
      <c r="K117" s="16">
        <v>1</v>
      </c>
      <c r="L117" s="16">
        <v>1</v>
      </c>
      <c r="M117" s="16">
        <v>1.5</v>
      </c>
      <c r="N117" s="16"/>
      <c r="O117" s="16">
        <v>1</v>
      </c>
      <c r="P117" s="56">
        <v>1.5</v>
      </c>
      <c r="Q117" s="16">
        <v>1</v>
      </c>
      <c r="R117" s="16">
        <v>1</v>
      </c>
      <c r="S117" s="16">
        <v>1</v>
      </c>
      <c r="T117" s="16">
        <v>1</v>
      </c>
      <c r="U117" s="16">
        <v>1</v>
      </c>
      <c r="V117" s="16"/>
      <c r="W117" s="16"/>
      <c r="X117" s="16"/>
      <c r="Y117" s="16"/>
      <c r="Z117" s="16"/>
      <c r="AA117" s="16"/>
      <c r="AB117" s="16">
        <v>1</v>
      </c>
      <c r="AC117" s="16">
        <v>1</v>
      </c>
      <c r="AD117" s="16">
        <v>1</v>
      </c>
      <c r="AE117" s="16">
        <v>1</v>
      </c>
      <c r="AF117" s="16">
        <v>1</v>
      </c>
      <c r="AG117" s="16">
        <v>1</v>
      </c>
      <c r="AH117" s="16">
        <v>1</v>
      </c>
      <c r="AI117" s="57">
        <f t="shared" si="5"/>
        <v>22.5</v>
      </c>
      <c r="AJ117" s="78" t="s">
        <v>35</v>
      </c>
    </row>
    <row r="118" spans="1:46" s="58" customFormat="1" ht="13.5" customHeight="1" x14ac:dyDescent="0.2">
      <c r="A118" s="61">
        <v>10</v>
      </c>
      <c r="B118" s="55" t="s">
        <v>126</v>
      </c>
      <c r="C118" s="42" t="str">
        <f>VLOOKUP(B118,[1]Worksheet!$B$6:$C$153,2,0)</f>
        <v>SSI077</v>
      </c>
      <c r="D118" s="55"/>
      <c r="E118" s="16"/>
      <c r="F118" s="16"/>
      <c r="G118" s="16"/>
      <c r="H118" s="16"/>
      <c r="I118" s="16"/>
      <c r="J118" s="16"/>
      <c r="K118" s="16"/>
      <c r="L118" s="16">
        <v>1</v>
      </c>
      <c r="M118" s="16">
        <v>1.5</v>
      </c>
      <c r="N118" s="16">
        <v>1</v>
      </c>
      <c r="O118" s="16">
        <v>1</v>
      </c>
      <c r="P118" s="56">
        <v>2</v>
      </c>
      <c r="Q118" s="16">
        <v>1</v>
      </c>
      <c r="R118" s="16">
        <v>1</v>
      </c>
      <c r="S118" s="16">
        <v>1</v>
      </c>
      <c r="T118" s="16">
        <v>1</v>
      </c>
      <c r="U118" s="16">
        <v>1</v>
      </c>
      <c r="V118" s="16">
        <v>1</v>
      </c>
      <c r="W118" s="16">
        <v>1</v>
      </c>
      <c r="X118" s="16">
        <v>1</v>
      </c>
      <c r="Y118" s="16">
        <v>1</v>
      </c>
      <c r="Z118" s="56">
        <v>2</v>
      </c>
      <c r="AA118" s="16">
        <v>1</v>
      </c>
      <c r="AB118" s="16">
        <v>2</v>
      </c>
      <c r="AC118" s="16">
        <v>1</v>
      </c>
      <c r="AD118" s="56">
        <v>2</v>
      </c>
      <c r="AE118" s="56">
        <v>2</v>
      </c>
      <c r="AF118" s="16">
        <v>1</v>
      </c>
      <c r="AG118" s="56">
        <v>2</v>
      </c>
      <c r="AH118" s="16">
        <v>1</v>
      </c>
      <c r="AI118" s="57">
        <f t="shared" si="5"/>
        <v>29.5</v>
      </c>
      <c r="AJ118" s="19" t="s">
        <v>25</v>
      </c>
    </row>
    <row r="119" spans="1:46" x14ac:dyDescent="0.2">
      <c r="A119" s="61">
        <v>11</v>
      </c>
      <c r="B119" s="17" t="s">
        <v>127</v>
      </c>
      <c r="C119" s="42" t="str">
        <f>VLOOKUP(B119,[1]Worksheet!$B$6:$C$153,2,0)</f>
        <v>SSI078</v>
      </c>
      <c r="D119" s="17"/>
      <c r="E119" s="56">
        <v>2</v>
      </c>
      <c r="F119" s="16"/>
      <c r="G119" s="56">
        <v>2</v>
      </c>
      <c r="H119" s="16">
        <v>1</v>
      </c>
      <c r="I119" s="16">
        <v>2</v>
      </c>
      <c r="J119" s="16">
        <v>1</v>
      </c>
      <c r="K119" s="56">
        <v>2</v>
      </c>
      <c r="L119" s="16">
        <v>1</v>
      </c>
      <c r="M119" s="16">
        <v>1</v>
      </c>
      <c r="N119" s="16">
        <v>1</v>
      </c>
      <c r="O119" s="16">
        <v>1</v>
      </c>
      <c r="P119" s="16">
        <v>1</v>
      </c>
      <c r="Q119" s="16">
        <v>1</v>
      </c>
      <c r="R119" s="16">
        <v>1</v>
      </c>
      <c r="S119" s="56">
        <v>2</v>
      </c>
      <c r="T119" s="16">
        <v>1</v>
      </c>
      <c r="U119" s="16">
        <v>1</v>
      </c>
      <c r="V119" s="16">
        <v>2</v>
      </c>
      <c r="W119" s="16">
        <v>2</v>
      </c>
      <c r="X119" s="56">
        <v>2</v>
      </c>
      <c r="Y119" s="56">
        <v>1.5</v>
      </c>
      <c r="Z119" s="56">
        <v>2</v>
      </c>
      <c r="AA119" s="56">
        <v>1.5</v>
      </c>
      <c r="AB119" s="56">
        <v>2</v>
      </c>
      <c r="AC119" s="16">
        <v>1</v>
      </c>
      <c r="AD119" s="56">
        <v>1.5</v>
      </c>
      <c r="AE119" s="16">
        <v>1</v>
      </c>
      <c r="AF119" s="16">
        <v>1</v>
      </c>
      <c r="AG119" s="16">
        <v>1</v>
      </c>
      <c r="AH119" s="16">
        <v>1</v>
      </c>
      <c r="AI119" s="57">
        <f>SUM(E119:AH119)</f>
        <v>40.5</v>
      </c>
      <c r="AJ119" s="19" t="s">
        <v>25</v>
      </c>
    </row>
    <row r="120" spans="1:46" ht="15" thickBot="1" x14ac:dyDescent="0.25">
      <c r="A120" s="45"/>
      <c r="B120" s="46"/>
      <c r="C120" s="46"/>
      <c r="D120" s="46"/>
      <c r="E120" s="70"/>
      <c r="F120" s="71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49">
        <f>SUM(AI109:AI119)</f>
        <v>335</v>
      </c>
      <c r="AJ120" s="19"/>
      <c r="AR120" s="3">
        <v>30.03</v>
      </c>
      <c r="AS120" s="3">
        <v>1950</v>
      </c>
      <c r="AT120" s="3">
        <f>AR120*AS120</f>
        <v>58558.5</v>
      </c>
    </row>
    <row r="121" spans="1:46" ht="25.5" customHeight="1" x14ac:dyDescent="0.2">
      <c r="B121" s="4"/>
      <c r="C121" s="4"/>
      <c r="D121" s="4"/>
      <c r="E121" s="52"/>
      <c r="F121" s="53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32"/>
      <c r="AT121" s="3">
        <v>100</v>
      </c>
    </row>
    <row r="122" spans="1:46" ht="14.25" customHeight="1" x14ac:dyDescent="0.25">
      <c r="A122" s="8"/>
      <c r="B122" s="79" t="s">
        <v>44</v>
      </c>
      <c r="C122" s="79"/>
      <c r="D122" s="79"/>
      <c r="E122" s="10" t="s">
        <v>8</v>
      </c>
      <c r="F122" s="11" t="s">
        <v>9</v>
      </c>
      <c r="G122" s="10" t="s">
        <v>10</v>
      </c>
      <c r="H122" s="10" t="s">
        <v>11</v>
      </c>
      <c r="I122" s="10" t="s">
        <v>12</v>
      </c>
      <c r="J122" s="10" t="s">
        <v>13</v>
      </c>
      <c r="K122" s="12" t="s">
        <v>14</v>
      </c>
      <c r="L122" s="10" t="s">
        <v>8</v>
      </c>
      <c r="M122" s="11" t="s">
        <v>9</v>
      </c>
      <c r="N122" s="10" t="s">
        <v>10</v>
      </c>
      <c r="O122" s="10" t="s">
        <v>11</v>
      </c>
      <c r="P122" s="10" t="s">
        <v>12</v>
      </c>
      <c r="Q122" s="10" t="s">
        <v>13</v>
      </c>
      <c r="R122" s="12" t="s">
        <v>14</v>
      </c>
      <c r="S122" s="10" t="s">
        <v>8</v>
      </c>
      <c r="T122" s="11" t="s">
        <v>9</v>
      </c>
      <c r="U122" s="10" t="s">
        <v>10</v>
      </c>
      <c r="V122" s="10" t="s">
        <v>11</v>
      </c>
      <c r="W122" s="10" t="s">
        <v>12</v>
      </c>
      <c r="X122" s="10" t="s">
        <v>13</v>
      </c>
      <c r="Y122" s="12" t="s">
        <v>14</v>
      </c>
      <c r="Z122" s="10" t="s">
        <v>8</v>
      </c>
      <c r="AA122" s="11" t="s">
        <v>9</v>
      </c>
      <c r="AB122" s="10" t="s">
        <v>10</v>
      </c>
      <c r="AC122" s="10" t="s">
        <v>11</v>
      </c>
      <c r="AD122" s="10" t="s">
        <v>12</v>
      </c>
      <c r="AE122" s="10" t="s">
        <v>13</v>
      </c>
      <c r="AF122" s="12" t="s">
        <v>14</v>
      </c>
      <c r="AG122" s="10" t="s">
        <v>8</v>
      </c>
      <c r="AH122" s="11" t="s">
        <v>9</v>
      </c>
      <c r="AI122" s="133" t="s">
        <v>15</v>
      </c>
      <c r="AJ122" s="80"/>
      <c r="AK122" s="135" t="s">
        <v>45</v>
      </c>
      <c r="AL122" s="81"/>
      <c r="AM122" s="81"/>
      <c r="AN122" s="81"/>
      <c r="AO122" s="81"/>
      <c r="AT122" s="3">
        <f>AT120-AT121</f>
        <v>58458.5</v>
      </c>
    </row>
    <row r="123" spans="1:46" s="85" customFormat="1" ht="15" customHeight="1" x14ac:dyDescent="0.2">
      <c r="A123" s="82" t="s">
        <v>6</v>
      </c>
      <c r="B123" s="83" t="s">
        <v>7</v>
      </c>
      <c r="C123" s="83"/>
      <c r="D123" s="83"/>
      <c r="E123" s="15">
        <v>1</v>
      </c>
      <c r="F123" s="15">
        <v>2</v>
      </c>
      <c r="G123" s="15">
        <v>3</v>
      </c>
      <c r="H123" s="15">
        <v>4</v>
      </c>
      <c r="I123" s="15">
        <v>5</v>
      </c>
      <c r="J123" s="15">
        <v>6</v>
      </c>
      <c r="K123" s="15">
        <v>7</v>
      </c>
      <c r="L123" s="15">
        <v>8</v>
      </c>
      <c r="M123" s="15">
        <v>9</v>
      </c>
      <c r="N123" s="15">
        <v>10</v>
      </c>
      <c r="O123" s="15">
        <v>11</v>
      </c>
      <c r="P123" s="15">
        <v>12</v>
      </c>
      <c r="Q123" s="15">
        <v>13</v>
      </c>
      <c r="R123" s="15">
        <v>14</v>
      </c>
      <c r="S123" s="15">
        <v>15</v>
      </c>
      <c r="T123" s="15">
        <v>16</v>
      </c>
      <c r="U123" s="15">
        <v>17</v>
      </c>
      <c r="V123" s="15">
        <v>18</v>
      </c>
      <c r="W123" s="15">
        <v>19</v>
      </c>
      <c r="X123" s="15">
        <v>20</v>
      </c>
      <c r="Y123" s="15">
        <v>21</v>
      </c>
      <c r="Z123" s="15">
        <v>22</v>
      </c>
      <c r="AA123" s="15">
        <v>23</v>
      </c>
      <c r="AB123" s="15">
        <v>24</v>
      </c>
      <c r="AC123" s="15">
        <v>25</v>
      </c>
      <c r="AD123" s="15">
        <v>26</v>
      </c>
      <c r="AE123" s="15">
        <v>27</v>
      </c>
      <c r="AF123" s="15">
        <v>28</v>
      </c>
      <c r="AG123" s="15">
        <v>29</v>
      </c>
      <c r="AH123" s="15">
        <v>30</v>
      </c>
      <c r="AI123" s="134"/>
      <c r="AJ123" s="84"/>
      <c r="AK123" s="136"/>
      <c r="AL123" s="81"/>
      <c r="AM123" s="81"/>
      <c r="AN123" s="81"/>
      <c r="AO123" s="81"/>
    </row>
    <row r="124" spans="1:46" s="58" customFormat="1" ht="14.25" customHeight="1" x14ac:dyDescent="0.2">
      <c r="A124" s="61">
        <v>1</v>
      </c>
      <c r="B124" s="55" t="s">
        <v>128</v>
      </c>
      <c r="C124" s="55" t="str">
        <f>VLOOKUP(B124,[1]Worksheet!$B$6:$C$153,2,0)</f>
        <v>SSI079</v>
      </c>
      <c r="D124" s="55"/>
      <c r="E124" s="16">
        <v>1</v>
      </c>
      <c r="F124" s="16">
        <v>1</v>
      </c>
      <c r="G124" s="16">
        <v>1</v>
      </c>
      <c r="H124" s="16">
        <v>1</v>
      </c>
      <c r="I124" s="16">
        <v>1</v>
      </c>
      <c r="J124" s="16">
        <v>1</v>
      </c>
      <c r="K124" s="16">
        <v>1</v>
      </c>
      <c r="L124" s="16">
        <v>1</v>
      </c>
      <c r="M124" s="56">
        <v>1</v>
      </c>
      <c r="N124" s="16">
        <v>1</v>
      </c>
      <c r="O124" s="16">
        <v>1</v>
      </c>
      <c r="P124" s="86">
        <v>1</v>
      </c>
      <c r="Q124" s="16">
        <v>1</v>
      </c>
      <c r="R124" s="16">
        <v>1</v>
      </c>
      <c r="S124" s="16">
        <v>1</v>
      </c>
      <c r="T124" s="56">
        <v>1</v>
      </c>
      <c r="U124" s="16">
        <v>1</v>
      </c>
      <c r="V124" s="16">
        <v>1</v>
      </c>
      <c r="W124" s="16">
        <v>1</v>
      </c>
      <c r="X124" s="16">
        <v>1</v>
      </c>
      <c r="Y124" s="16">
        <v>1</v>
      </c>
      <c r="Z124" s="16">
        <v>1</v>
      </c>
      <c r="AA124" s="56">
        <v>1</v>
      </c>
      <c r="AB124" s="16">
        <v>1</v>
      </c>
      <c r="AC124" s="16">
        <v>1</v>
      </c>
      <c r="AD124" s="16">
        <v>1</v>
      </c>
      <c r="AE124" s="16">
        <v>1</v>
      </c>
      <c r="AF124" s="16">
        <v>1</v>
      </c>
      <c r="AG124" s="16">
        <v>1</v>
      </c>
      <c r="AH124" s="16"/>
      <c r="AI124" s="57">
        <f>SUM(E124:AH124)</f>
        <v>29</v>
      </c>
      <c r="AJ124" s="42" t="s">
        <v>46</v>
      </c>
      <c r="AK124" s="58" t="s">
        <v>47</v>
      </c>
    </row>
    <row r="125" spans="1:46" s="58" customFormat="1" ht="13.5" customHeight="1" x14ac:dyDescent="0.2">
      <c r="A125" s="61">
        <v>2</v>
      </c>
      <c r="B125" s="55" t="s">
        <v>181</v>
      </c>
      <c r="C125" s="55" t="str">
        <f>VLOOKUP(B125,[1]Worksheet!$B$6:$C$153,2,0)</f>
        <v>SSI080</v>
      </c>
      <c r="D125" s="55"/>
      <c r="E125" s="56">
        <v>1</v>
      </c>
      <c r="F125" s="56">
        <v>1</v>
      </c>
      <c r="G125" s="16">
        <v>1</v>
      </c>
      <c r="H125" s="16">
        <v>1</v>
      </c>
      <c r="I125" s="16"/>
      <c r="J125" s="16">
        <v>1</v>
      </c>
      <c r="K125" s="16"/>
      <c r="L125" s="56">
        <v>1</v>
      </c>
      <c r="M125" s="16">
        <v>1</v>
      </c>
      <c r="N125" s="16">
        <v>1</v>
      </c>
      <c r="O125" s="16">
        <v>1</v>
      </c>
      <c r="P125" s="16">
        <v>1</v>
      </c>
      <c r="Q125" s="16">
        <v>1</v>
      </c>
      <c r="R125" s="16">
        <v>1</v>
      </c>
      <c r="S125" s="56">
        <v>1</v>
      </c>
      <c r="T125" s="16">
        <v>1</v>
      </c>
      <c r="U125" s="16">
        <v>1</v>
      </c>
      <c r="V125" s="16">
        <v>1</v>
      </c>
      <c r="W125" s="87">
        <v>1</v>
      </c>
      <c r="X125" s="87">
        <v>1</v>
      </c>
      <c r="Y125" s="16">
        <v>1</v>
      </c>
      <c r="Z125" s="56">
        <v>1</v>
      </c>
      <c r="AA125" s="16">
        <v>1</v>
      </c>
      <c r="AB125" s="16">
        <v>1</v>
      </c>
      <c r="AC125" s="16">
        <v>1</v>
      </c>
      <c r="AD125" s="16">
        <v>1</v>
      </c>
      <c r="AE125" s="16"/>
      <c r="AF125" s="16">
        <v>1</v>
      </c>
      <c r="AG125" s="56">
        <v>1</v>
      </c>
      <c r="AH125" s="16">
        <v>1</v>
      </c>
      <c r="AI125" s="57">
        <f t="shared" ref="AI125:AI142" si="6">SUM(E125:AH125)</f>
        <v>27</v>
      </c>
      <c r="AJ125" s="58" t="s">
        <v>33</v>
      </c>
      <c r="AK125" s="58" t="s">
        <v>47</v>
      </c>
    </row>
    <row r="126" spans="1:46" s="58" customFormat="1" ht="13.5" customHeight="1" x14ac:dyDescent="0.2">
      <c r="A126" s="61">
        <v>3</v>
      </c>
      <c r="B126" s="55" t="s">
        <v>180</v>
      </c>
      <c r="C126" s="55" t="str">
        <f>VLOOKUP(B126,[1]Worksheet!$B$6:$C$153,2,0)</f>
        <v>SSI081</v>
      </c>
      <c r="D126" s="17" t="s">
        <v>222</v>
      </c>
      <c r="E126" s="19"/>
      <c r="F126" s="19"/>
      <c r="G126" s="19"/>
      <c r="H126" s="19"/>
      <c r="I126" s="19"/>
      <c r="J126" s="19"/>
      <c r="K126" s="16"/>
      <c r="L126" s="16"/>
      <c r="M126" s="16">
        <v>1</v>
      </c>
      <c r="N126" s="16">
        <v>1</v>
      </c>
      <c r="O126" s="52">
        <v>1</v>
      </c>
      <c r="P126" s="16">
        <v>1</v>
      </c>
      <c r="Q126" s="16">
        <v>1</v>
      </c>
      <c r="R126" s="16">
        <v>1</v>
      </c>
      <c r="S126" s="16">
        <v>1</v>
      </c>
      <c r="T126" s="16">
        <v>1</v>
      </c>
      <c r="U126" s="16">
        <v>1</v>
      </c>
      <c r="V126" s="16">
        <v>1</v>
      </c>
      <c r="W126" s="56">
        <v>1</v>
      </c>
      <c r="X126" s="16"/>
      <c r="Y126" s="19"/>
      <c r="Z126" s="19"/>
      <c r="AA126" s="19"/>
      <c r="AB126" s="19"/>
      <c r="AC126" s="19"/>
      <c r="AD126" s="21">
        <v>1</v>
      </c>
      <c r="AE126" s="21">
        <v>1</v>
      </c>
      <c r="AF126" s="21">
        <v>1</v>
      </c>
      <c r="AG126" s="21">
        <v>1</v>
      </c>
      <c r="AH126" s="21">
        <v>1</v>
      </c>
      <c r="AI126" s="57">
        <f t="shared" si="6"/>
        <v>16</v>
      </c>
      <c r="AJ126" s="58" t="s">
        <v>27</v>
      </c>
      <c r="AK126" s="58" t="s">
        <v>47</v>
      </c>
    </row>
    <row r="127" spans="1:46" x14ac:dyDescent="0.2">
      <c r="A127" s="61">
        <v>4</v>
      </c>
      <c r="B127" s="17" t="s">
        <v>129</v>
      </c>
      <c r="C127" s="55" t="str">
        <f>VLOOKUP(B127,[1]Worksheet!$B$6:$C$153,2,0)</f>
        <v>SSI082</v>
      </c>
      <c r="D127" s="17"/>
      <c r="E127" s="16">
        <v>1</v>
      </c>
      <c r="F127" s="16">
        <v>1</v>
      </c>
      <c r="G127" s="16">
        <v>1</v>
      </c>
      <c r="H127" s="16">
        <v>1</v>
      </c>
      <c r="I127" s="16">
        <v>1</v>
      </c>
      <c r="J127" s="56">
        <v>1</v>
      </c>
      <c r="K127" s="16">
        <v>1</v>
      </c>
      <c r="L127" s="16">
        <v>1</v>
      </c>
      <c r="M127" s="16">
        <v>1</v>
      </c>
      <c r="N127" s="16">
        <v>1</v>
      </c>
      <c r="O127" s="16">
        <v>1</v>
      </c>
      <c r="P127" s="16">
        <v>1</v>
      </c>
      <c r="Q127" s="56">
        <v>1</v>
      </c>
      <c r="R127" s="16">
        <v>1</v>
      </c>
      <c r="S127" s="16">
        <v>1</v>
      </c>
      <c r="T127" s="16">
        <v>1</v>
      </c>
      <c r="U127" s="56">
        <v>2</v>
      </c>
      <c r="V127" s="16">
        <v>1</v>
      </c>
      <c r="W127" s="16">
        <v>1</v>
      </c>
      <c r="X127" s="56">
        <v>1</v>
      </c>
      <c r="Y127" s="16">
        <v>1</v>
      </c>
      <c r="Z127" s="16">
        <v>1</v>
      </c>
      <c r="AA127" s="16">
        <v>1</v>
      </c>
      <c r="AB127" s="16">
        <v>1</v>
      </c>
      <c r="AC127" s="16">
        <v>1</v>
      </c>
      <c r="AD127" s="16">
        <v>1</v>
      </c>
      <c r="AE127" s="56">
        <v>1</v>
      </c>
      <c r="AF127" s="16">
        <v>1</v>
      </c>
      <c r="AG127" s="16">
        <v>1</v>
      </c>
      <c r="AH127" s="16">
        <v>1</v>
      </c>
      <c r="AI127" s="57">
        <f t="shared" si="6"/>
        <v>31</v>
      </c>
      <c r="AJ127" s="19" t="s">
        <v>30</v>
      </c>
      <c r="AK127" s="58" t="s">
        <v>47</v>
      </c>
      <c r="AL127" s="58"/>
      <c r="AM127" s="58"/>
      <c r="AN127" s="58"/>
      <c r="AO127" s="58"/>
    </row>
    <row r="128" spans="1:46" ht="13.5" customHeight="1" x14ac:dyDescent="0.2">
      <c r="A128" s="61">
        <v>5</v>
      </c>
      <c r="B128" s="17" t="s">
        <v>182</v>
      </c>
      <c r="C128" s="55" t="str">
        <f>VLOOKUP(B128,[1]Worksheet!$B$6:$C$153,2,0)</f>
        <v>SSI083</v>
      </c>
      <c r="D128" s="17"/>
      <c r="E128" s="16">
        <v>1</v>
      </c>
      <c r="F128" s="16">
        <v>1</v>
      </c>
      <c r="G128" s="56">
        <v>1</v>
      </c>
      <c r="H128" s="16">
        <v>1</v>
      </c>
      <c r="I128" s="16">
        <v>1</v>
      </c>
      <c r="J128" s="16">
        <v>1</v>
      </c>
      <c r="K128" s="16">
        <v>1</v>
      </c>
      <c r="L128" s="16">
        <v>1</v>
      </c>
      <c r="M128" s="16">
        <v>1</v>
      </c>
      <c r="N128" s="56">
        <v>1</v>
      </c>
      <c r="O128" s="16">
        <v>1</v>
      </c>
      <c r="P128" s="16">
        <v>1</v>
      </c>
      <c r="Q128" s="16">
        <v>1</v>
      </c>
      <c r="R128" s="16">
        <v>1</v>
      </c>
      <c r="S128" s="16">
        <v>1</v>
      </c>
      <c r="T128" s="16">
        <v>1</v>
      </c>
      <c r="U128" s="16"/>
      <c r="V128" s="16">
        <v>1</v>
      </c>
      <c r="W128" s="16">
        <v>1</v>
      </c>
      <c r="X128" s="16">
        <v>1</v>
      </c>
      <c r="Y128" s="16">
        <v>1</v>
      </c>
      <c r="Z128" s="16">
        <v>1</v>
      </c>
      <c r="AA128" s="16">
        <v>1</v>
      </c>
      <c r="AB128" s="56">
        <v>1</v>
      </c>
      <c r="AC128" s="16">
        <v>1</v>
      </c>
      <c r="AD128" s="16">
        <v>1</v>
      </c>
      <c r="AE128" s="16">
        <v>1</v>
      </c>
      <c r="AF128" s="16">
        <v>1</v>
      </c>
      <c r="AG128" s="16">
        <v>1</v>
      </c>
      <c r="AH128" s="16">
        <v>1</v>
      </c>
      <c r="AI128" s="57">
        <f t="shared" si="6"/>
        <v>29</v>
      </c>
      <c r="AJ128" s="19" t="s">
        <v>35</v>
      </c>
      <c r="AK128" s="58" t="s">
        <v>47</v>
      </c>
      <c r="AL128" s="58"/>
      <c r="AM128" s="58"/>
      <c r="AN128" s="58"/>
      <c r="AO128" s="58"/>
    </row>
    <row r="129" spans="1:48" x14ac:dyDescent="0.2">
      <c r="A129" s="61">
        <v>6</v>
      </c>
      <c r="B129" s="17" t="s">
        <v>183</v>
      </c>
      <c r="C129" s="55" t="str">
        <f>VLOOKUP(B129,[1]Worksheet!$B$6:$C$153,2,0)</f>
        <v>SSI084</v>
      </c>
      <c r="D129" s="17"/>
      <c r="E129" s="56">
        <v>1</v>
      </c>
      <c r="F129" s="16">
        <v>1</v>
      </c>
      <c r="G129" s="16">
        <v>1</v>
      </c>
      <c r="H129" s="16">
        <v>1</v>
      </c>
      <c r="I129" s="16">
        <v>1</v>
      </c>
      <c r="J129" s="16">
        <v>1</v>
      </c>
      <c r="K129" s="56">
        <v>2</v>
      </c>
      <c r="L129" s="56">
        <v>1</v>
      </c>
      <c r="M129" s="16">
        <v>1</v>
      </c>
      <c r="N129" s="16">
        <v>1</v>
      </c>
      <c r="O129" s="16">
        <v>1</v>
      </c>
      <c r="P129" s="16">
        <v>1</v>
      </c>
      <c r="Q129" s="16">
        <v>1</v>
      </c>
      <c r="R129" s="16">
        <v>1</v>
      </c>
      <c r="S129" s="56">
        <v>1</v>
      </c>
      <c r="T129" s="56">
        <v>2</v>
      </c>
      <c r="U129" s="16">
        <v>1</v>
      </c>
      <c r="V129" s="16">
        <v>1</v>
      </c>
      <c r="W129" s="16">
        <v>1</v>
      </c>
      <c r="X129" s="16">
        <v>1</v>
      </c>
      <c r="Y129" s="16">
        <v>1</v>
      </c>
      <c r="Z129" s="56">
        <v>1</v>
      </c>
      <c r="AA129" s="16">
        <v>1</v>
      </c>
      <c r="AB129" s="16">
        <v>1</v>
      </c>
      <c r="AC129" s="16">
        <v>1</v>
      </c>
      <c r="AD129" s="16">
        <v>1</v>
      </c>
      <c r="AE129" s="16">
        <v>1</v>
      </c>
      <c r="AF129" s="16">
        <v>1</v>
      </c>
      <c r="AG129" s="56">
        <v>1</v>
      </c>
      <c r="AH129" s="16">
        <v>1</v>
      </c>
      <c r="AI129" s="57">
        <f>SUM(E129:AH129)</f>
        <v>32</v>
      </c>
      <c r="AJ129" s="19" t="s">
        <v>33</v>
      </c>
      <c r="AK129" s="58" t="s">
        <v>47</v>
      </c>
      <c r="AL129" s="58"/>
      <c r="AM129" s="58"/>
      <c r="AN129" s="58"/>
      <c r="AO129" s="58"/>
    </row>
    <row r="130" spans="1:48" ht="13.5" customHeight="1" x14ac:dyDescent="0.2">
      <c r="A130" s="61">
        <v>7</v>
      </c>
      <c r="B130" s="132" t="s">
        <v>210</v>
      </c>
      <c r="C130" s="55" t="str">
        <f>VLOOKUP(B130,[1]Worksheet!$B$6:$C$153,2,0)</f>
        <v>SSI085</v>
      </c>
      <c r="D130" s="17"/>
      <c r="E130" s="16">
        <v>1</v>
      </c>
      <c r="F130" s="56">
        <v>2</v>
      </c>
      <c r="G130" s="16">
        <v>1</v>
      </c>
      <c r="H130" s="56">
        <v>2</v>
      </c>
      <c r="I130" s="16">
        <v>1</v>
      </c>
      <c r="J130" s="56">
        <v>2</v>
      </c>
      <c r="K130" s="16">
        <v>1</v>
      </c>
      <c r="L130" s="16">
        <v>1</v>
      </c>
      <c r="M130" s="16">
        <v>1</v>
      </c>
      <c r="N130" s="16"/>
      <c r="O130" s="16">
        <v>1</v>
      </c>
      <c r="P130" s="16">
        <v>1</v>
      </c>
      <c r="Q130" s="16">
        <v>1</v>
      </c>
      <c r="R130" s="16">
        <v>1</v>
      </c>
      <c r="S130" s="16">
        <v>1</v>
      </c>
      <c r="T130" s="16">
        <v>1</v>
      </c>
      <c r="U130" s="16">
        <v>1</v>
      </c>
      <c r="V130" s="16">
        <v>1</v>
      </c>
      <c r="W130" s="16">
        <v>1</v>
      </c>
      <c r="X130" s="73">
        <v>1</v>
      </c>
      <c r="Y130" s="73">
        <v>1</v>
      </c>
      <c r="Z130" s="16">
        <v>1</v>
      </c>
      <c r="AA130" s="16"/>
      <c r="AB130" s="16">
        <v>1</v>
      </c>
      <c r="AC130" s="16">
        <v>1</v>
      </c>
      <c r="AD130" s="56">
        <v>2</v>
      </c>
      <c r="AE130" s="16">
        <v>1</v>
      </c>
      <c r="AF130" s="16">
        <v>1</v>
      </c>
      <c r="AG130" s="16">
        <v>1</v>
      </c>
      <c r="AH130" s="16">
        <v>1</v>
      </c>
      <c r="AI130" s="57">
        <f t="shared" si="6"/>
        <v>32</v>
      </c>
      <c r="AJ130" s="19" t="s">
        <v>48</v>
      </c>
      <c r="AK130" s="3" t="s">
        <v>49</v>
      </c>
      <c r="AQ130" s="6"/>
      <c r="AR130" s="6"/>
      <c r="AS130" s="21"/>
      <c r="AT130" s="6"/>
      <c r="AU130" s="3">
        <v>29.98</v>
      </c>
      <c r="AV130" s="3">
        <f>+AT130*AU130</f>
        <v>0</v>
      </c>
    </row>
    <row r="131" spans="1:48" ht="13.5" customHeight="1" x14ac:dyDescent="0.2">
      <c r="A131" s="61">
        <v>8</v>
      </c>
      <c r="B131" s="17" t="s">
        <v>211</v>
      </c>
      <c r="C131" s="55" t="str">
        <f>VLOOKUP(B131,[1]Worksheet!$B$6:$C$153,2,0)</f>
        <v>SSI086</v>
      </c>
      <c r="D131" s="17"/>
      <c r="E131" s="56">
        <v>2</v>
      </c>
      <c r="F131" s="16">
        <v>1</v>
      </c>
      <c r="G131" s="56">
        <v>2</v>
      </c>
      <c r="H131" s="16">
        <v>1</v>
      </c>
      <c r="I131" s="56">
        <v>2</v>
      </c>
      <c r="J131" s="16">
        <v>1</v>
      </c>
      <c r="K131" s="56">
        <v>2</v>
      </c>
      <c r="L131" s="16">
        <v>1</v>
      </c>
      <c r="M131" s="16">
        <v>1</v>
      </c>
      <c r="N131" s="56">
        <v>2</v>
      </c>
      <c r="O131" s="16">
        <v>1</v>
      </c>
      <c r="P131" s="16">
        <v>1</v>
      </c>
      <c r="Q131" s="16">
        <v>1</v>
      </c>
      <c r="R131" s="16">
        <v>1</v>
      </c>
      <c r="S131" s="16">
        <v>1</v>
      </c>
      <c r="T131" s="16">
        <v>1</v>
      </c>
      <c r="U131" s="16">
        <v>1</v>
      </c>
      <c r="V131" s="16">
        <v>1</v>
      </c>
      <c r="W131" s="16">
        <v>1</v>
      </c>
      <c r="X131" s="56">
        <v>2</v>
      </c>
      <c r="Y131" s="56">
        <v>2</v>
      </c>
      <c r="Z131" s="16">
        <v>1</v>
      </c>
      <c r="AA131" s="56">
        <v>2</v>
      </c>
      <c r="AB131" s="16">
        <v>1</v>
      </c>
      <c r="AC131" s="16">
        <v>1</v>
      </c>
      <c r="AD131" s="16"/>
      <c r="AE131" s="16">
        <v>1</v>
      </c>
      <c r="AF131" s="16">
        <v>1</v>
      </c>
      <c r="AG131" s="16">
        <v>1</v>
      </c>
      <c r="AH131" s="16">
        <v>1</v>
      </c>
      <c r="AI131" s="57">
        <f t="shared" si="6"/>
        <v>37</v>
      </c>
      <c r="AJ131" s="19" t="s">
        <v>50</v>
      </c>
      <c r="AK131" s="3" t="s">
        <v>49</v>
      </c>
      <c r="AP131" s="3" t="s">
        <v>51</v>
      </c>
      <c r="AQ131" s="6"/>
      <c r="AR131" s="6"/>
      <c r="AS131" s="6"/>
      <c r="AT131" s="6"/>
      <c r="AV131" s="3">
        <v>100</v>
      </c>
    </row>
    <row r="132" spans="1:48" x14ac:dyDescent="0.2">
      <c r="A132" s="61">
        <v>9</v>
      </c>
      <c r="B132" s="17" t="s">
        <v>130</v>
      </c>
      <c r="C132" s="55" t="str">
        <f>VLOOKUP(B132,[1]Worksheet!$B$6:$C$153,2,0)</f>
        <v>SSI087</v>
      </c>
      <c r="D132" s="17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88"/>
      <c r="Q132" s="52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55">
        <f t="shared" si="6"/>
        <v>0</v>
      </c>
      <c r="AJ132" s="19" t="s">
        <v>27</v>
      </c>
      <c r="AK132" s="3" t="s">
        <v>47</v>
      </c>
      <c r="AQ132" s="6"/>
      <c r="AR132" s="6"/>
      <c r="AS132" s="19"/>
      <c r="AT132" s="6"/>
    </row>
    <row r="133" spans="1:48" x14ac:dyDescent="0.2">
      <c r="A133" s="61">
        <v>10</v>
      </c>
      <c r="B133" s="17" t="s">
        <v>131</v>
      </c>
      <c r="C133" s="55" t="e">
        <f>VLOOKUP(B133,[1]Worksheet!$B$6:$C$153,2,0)</f>
        <v>#N/A</v>
      </c>
      <c r="D133" s="17" t="s">
        <v>222</v>
      </c>
      <c r="E133" s="16">
        <v>1</v>
      </c>
      <c r="F133" s="16">
        <v>1</v>
      </c>
      <c r="G133" s="16">
        <v>1</v>
      </c>
      <c r="H133" s="16">
        <v>1</v>
      </c>
      <c r="I133" s="16">
        <v>1</v>
      </c>
      <c r="J133" s="16">
        <v>1</v>
      </c>
      <c r="K133" s="16">
        <v>1</v>
      </c>
      <c r="L133" s="16">
        <v>1</v>
      </c>
      <c r="M133" s="16">
        <v>1</v>
      </c>
      <c r="N133" s="16">
        <v>1</v>
      </c>
      <c r="O133" s="16">
        <v>1</v>
      </c>
      <c r="P133" s="16">
        <v>1</v>
      </c>
      <c r="Q133" s="16">
        <v>1</v>
      </c>
      <c r="R133" s="16">
        <v>1</v>
      </c>
      <c r="S133" s="16">
        <v>1</v>
      </c>
      <c r="T133" s="16"/>
      <c r="U133" s="16"/>
      <c r="V133" s="16">
        <v>1</v>
      </c>
      <c r="W133" s="16">
        <v>1</v>
      </c>
      <c r="X133" s="16">
        <v>1</v>
      </c>
      <c r="Y133" s="16">
        <v>1</v>
      </c>
      <c r="Z133" s="16">
        <v>1</v>
      </c>
      <c r="AA133" s="56">
        <v>2</v>
      </c>
      <c r="AB133" s="56">
        <v>2</v>
      </c>
      <c r="AC133" s="56">
        <v>2</v>
      </c>
      <c r="AD133" s="16">
        <v>1</v>
      </c>
      <c r="AE133" s="16">
        <v>1</v>
      </c>
      <c r="AF133" s="16">
        <v>1</v>
      </c>
      <c r="AG133" s="16">
        <v>1</v>
      </c>
      <c r="AH133" s="16">
        <v>1</v>
      </c>
      <c r="AI133" s="57">
        <f>SUM(E133:AH133)</f>
        <v>31</v>
      </c>
      <c r="AJ133" s="19" t="s">
        <v>52</v>
      </c>
      <c r="AK133" s="3" t="s">
        <v>49</v>
      </c>
      <c r="AQ133" s="6"/>
      <c r="AR133" s="6"/>
      <c r="AS133" s="6"/>
      <c r="AT133" s="6"/>
      <c r="AV133" s="3">
        <f>+AV130-AV131</f>
        <v>-100</v>
      </c>
    </row>
    <row r="134" spans="1:48" ht="13.5" customHeight="1" x14ac:dyDescent="0.2">
      <c r="A134" s="61">
        <v>12</v>
      </c>
      <c r="B134" s="17" t="s">
        <v>132</v>
      </c>
      <c r="C134" s="55" t="str">
        <f>VLOOKUP(B134,[1]Worksheet!$B$6:$C$153,2,0)</f>
        <v>SSI090</v>
      </c>
      <c r="D134" s="17"/>
      <c r="E134" s="16">
        <v>1</v>
      </c>
      <c r="F134" s="16">
        <v>1</v>
      </c>
      <c r="G134" s="16">
        <v>1</v>
      </c>
      <c r="H134" s="16">
        <v>1</v>
      </c>
      <c r="I134" s="56">
        <v>1</v>
      </c>
      <c r="J134" s="16">
        <v>1</v>
      </c>
      <c r="K134" s="16"/>
      <c r="L134" s="16">
        <v>1</v>
      </c>
      <c r="M134" s="16">
        <v>1</v>
      </c>
      <c r="N134" s="16">
        <v>1</v>
      </c>
      <c r="O134" s="16">
        <v>1</v>
      </c>
      <c r="P134" s="56">
        <v>1</v>
      </c>
      <c r="Q134" s="16">
        <v>1</v>
      </c>
      <c r="R134" s="56">
        <v>1</v>
      </c>
      <c r="S134" s="16">
        <v>1</v>
      </c>
      <c r="T134" s="16"/>
      <c r="U134" s="16">
        <v>1</v>
      </c>
      <c r="V134" s="16">
        <v>1</v>
      </c>
      <c r="W134" s="16">
        <v>1</v>
      </c>
      <c r="X134" s="16">
        <v>1</v>
      </c>
      <c r="Y134" s="16">
        <v>1</v>
      </c>
      <c r="Z134" s="16">
        <v>1</v>
      </c>
      <c r="AA134" s="16">
        <v>1</v>
      </c>
      <c r="AB134" s="16">
        <v>1</v>
      </c>
      <c r="AC134" s="16">
        <v>1</v>
      </c>
      <c r="AD134" s="56">
        <v>1</v>
      </c>
      <c r="AE134" s="16">
        <v>1</v>
      </c>
      <c r="AF134" s="56">
        <v>1</v>
      </c>
      <c r="AG134" s="16">
        <v>1</v>
      </c>
      <c r="AH134" s="16">
        <v>1</v>
      </c>
      <c r="AI134" s="57">
        <f t="shared" si="6"/>
        <v>28</v>
      </c>
      <c r="AJ134" s="19" t="s">
        <v>25</v>
      </c>
      <c r="AK134" s="3" t="s">
        <v>47</v>
      </c>
      <c r="AQ134" s="6"/>
      <c r="AR134" s="6"/>
      <c r="AS134" s="6"/>
      <c r="AT134" s="6"/>
    </row>
    <row r="135" spans="1:48" x14ac:dyDescent="0.2">
      <c r="A135" s="61">
        <v>13</v>
      </c>
      <c r="B135" s="17" t="s">
        <v>93</v>
      </c>
      <c r="C135" s="55" t="str">
        <f>VLOOKUP(B135,[1]Worksheet!$B$6:$C$153,2,0)</f>
        <v>SSI027</v>
      </c>
      <c r="D135" s="17" t="s">
        <v>222</v>
      </c>
      <c r="E135" s="16">
        <v>1</v>
      </c>
      <c r="F135" s="16">
        <v>1</v>
      </c>
      <c r="G135" s="16">
        <v>1</v>
      </c>
      <c r="H135" s="16">
        <v>1</v>
      </c>
      <c r="I135" s="16">
        <v>1</v>
      </c>
      <c r="J135" s="16">
        <v>1</v>
      </c>
      <c r="K135" s="16">
        <v>1</v>
      </c>
      <c r="L135" s="56">
        <v>2</v>
      </c>
      <c r="M135" s="16">
        <v>1</v>
      </c>
      <c r="N135" s="16">
        <v>1</v>
      </c>
      <c r="O135" s="16">
        <v>1</v>
      </c>
      <c r="P135" s="16">
        <v>1</v>
      </c>
      <c r="Q135" s="16"/>
      <c r="R135" s="16">
        <v>1</v>
      </c>
      <c r="S135" s="52">
        <v>1</v>
      </c>
      <c r="T135" s="56">
        <v>2</v>
      </c>
      <c r="U135" s="16">
        <v>1</v>
      </c>
      <c r="V135" s="16">
        <v>1</v>
      </c>
      <c r="W135" s="16">
        <v>1</v>
      </c>
      <c r="X135" s="16">
        <v>1</v>
      </c>
      <c r="Y135" s="16">
        <v>1</v>
      </c>
      <c r="Z135" s="16">
        <v>1</v>
      </c>
      <c r="AA135" s="16">
        <v>2</v>
      </c>
      <c r="AB135" s="16">
        <v>1</v>
      </c>
      <c r="AC135" s="16">
        <v>1</v>
      </c>
      <c r="AD135" s="16">
        <v>1</v>
      </c>
      <c r="AE135" s="16">
        <v>1</v>
      </c>
      <c r="AF135" s="16">
        <v>1</v>
      </c>
      <c r="AG135" s="16">
        <v>1</v>
      </c>
      <c r="AH135" s="16">
        <v>1</v>
      </c>
      <c r="AI135" s="57">
        <f t="shared" si="6"/>
        <v>32</v>
      </c>
      <c r="AJ135" s="19" t="s">
        <v>53</v>
      </c>
      <c r="AK135" s="3" t="s">
        <v>49</v>
      </c>
      <c r="AQ135" s="6"/>
      <c r="AR135" s="6"/>
      <c r="AS135" s="6"/>
      <c r="AT135" s="6"/>
    </row>
    <row r="136" spans="1:48" ht="13.5" customHeight="1" x14ac:dyDescent="0.2">
      <c r="A136" s="61">
        <v>14</v>
      </c>
      <c r="B136" s="17" t="s">
        <v>133</v>
      </c>
      <c r="C136" s="55" t="str">
        <f>VLOOKUP(B136,[1]Worksheet!$B$6:$C$153,2,0)</f>
        <v>SSI092</v>
      </c>
      <c r="D136" s="17"/>
      <c r="E136" s="16">
        <v>1</v>
      </c>
      <c r="F136" s="16">
        <v>1</v>
      </c>
      <c r="G136" s="16">
        <v>1</v>
      </c>
      <c r="H136" s="16">
        <v>1</v>
      </c>
      <c r="I136" s="56">
        <v>1</v>
      </c>
      <c r="J136" s="16">
        <v>1</v>
      </c>
      <c r="K136" s="16">
        <v>1</v>
      </c>
      <c r="L136" s="16">
        <v>1</v>
      </c>
      <c r="M136" s="16">
        <v>1</v>
      </c>
      <c r="N136" s="16">
        <v>1</v>
      </c>
      <c r="O136" s="16">
        <v>1</v>
      </c>
      <c r="P136" s="56">
        <v>1</v>
      </c>
      <c r="Q136" s="16">
        <v>1</v>
      </c>
      <c r="R136" s="16">
        <v>1</v>
      </c>
      <c r="S136" s="16">
        <v>1</v>
      </c>
      <c r="T136" s="16">
        <v>1</v>
      </c>
      <c r="U136" s="16">
        <v>1</v>
      </c>
      <c r="V136" s="16">
        <v>1</v>
      </c>
      <c r="W136" s="56">
        <v>1</v>
      </c>
      <c r="X136" s="16">
        <v>1</v>
      </c>
      <c r="Y136" s="16">
        <v>1</v>
      </c>
      <c r="Z136" s="16">
        <v>1</v>
      </c>
      <c r="AA136" s="16">
        <v>1</v>
      </c>
      <c r="AB136" s="16">
        <v>1</v>
      </c>
      <c r="AC136" s="16">
        <v>1</v>
      </c>
      <c r="AD136" s="56">
        <v>2</v>
      </c>
      <c r="AE136" s="16">
        <v>1</v>
      </c>
      <c r="AF136" s="16">
        <v>1</v>
      </c>
      <c r="AG136" s="16">
        <v>1</v>
      </c>
      <c r="AH136" s="16">
        <v>1</v>
      </c>
      <c r="AI136" s="57">
        <f t="shared" si="6"/>
        <v>31</v>
      </c>
      <c r="AJ136" s="19" t="s">
        <v>25</v>
      </c>
      <c r="AK136" s="3" t="s">
        <v>47</v>
      </c>
      <c r="AQ136" s="6"/>
      <c r="AR136" s="6"/>
      <c r="AS136" s="6"/>
      <c r="AT136" s="6"/>
    </row>
    <row r="137" spans="1:48" x14ac:dyDescent="0.2">
      <c r="A137" s="61">
        <v>15</v>
      </c>
      <c r="B137" s="17" t="s">
        <v>134</v>
      </c>
      <c r="C137" s="55" t="str">
        <f>VLOOKUP(B137,[1]Worksheet!$B$6:$C$153,2,0)</f>
        <v>SSI093</v>
      </c>
      <c r="D137" s="17"/>
      <c r="E137" s="16"/>
      <c r="F137" s="16"/>
      <c r="G137" s="16"/>
      <c r="H137" s="16"/>
      <c r="I137" s="16">
        <v>1</v>
      </c>
      <c r="J137" s="16">
        <v>1</v>
      </c>
      <c r="K137" s="16">
        <v>1</v>
      </c>
      <c r="L137" s="16">
        <v>1</v>
      </c>
      <c r="M137" s="16"/>
      <c r="N137" s="56">
        <v>2</v>
      </c>
      <c r="O137" s="16">
        <v>1</v>
      </c>
      <c r="P137" s="16">
        <v>1</v>
      </c>
      <c r="Q137" s="16">
        <v>1</v>
      </c>
      <c r="R137" s="16"/>
      <c r="S137" s="16">
        <v>1</v>
      </c>
      <c r="T137" s="16">
        <v>1</v>
      </c>
      <c r="U137" s="16">
        <v>1</v>
      </c>
      <c r="V137" s="16">
        <v>1</v>
      </c>
      <c r="W137" s="56">
        <v>2</v>
      </c>
      <c r="X137" s="16">
        <v>1</v>
      </c>
      <c r="Y137" s="16">
        <v>1</v>
      </c>
      <c r="Z137" s="16">
        <v>1</v>
      </c>
      <c r="AA137" s="16"/>
      <c r="AB137" s="16">
        <v>1</v>
      </c>
      <c r="AC137" s="16"/>
      <c r="AD137" s="16">
        <v>1</v>
      </c>
      <c r="AE137" s="16">
        <v>1</v>
      </c>
      <c r="AF137" s="16">
        <v>1</v>
      </c>
      <c r="AG137" s="16">
        <v>1</v>
      </c>
      <c r="AH137" s="16">
        <v>1</v>
      </c>
      <c r="AI137" s="57">
        <f t="shared" si="6"/>
        <v>24</v>
      </c>
      <c r="AJ137" s="19" t="s">
        <v>54</v>
      </c>
      <c r="AK137" s="3" t="s">
        <v>49</v>
      </c>
      <c r="AQ137" s="6"/>
      <c r="AR137" s="6"/>
      <c r="AS137" s="6"/>
      <c r="AT137" s="6"/>
    </row>
    <row r="138" spans="1:48" x14ac:dyDescent="0.2">
      <c r="A138" s="61">
        <v>16</v>
      </c>
      <c r="B138" s="17" t="s">
        <v>184</v>
      </c>
      <c r="C138" s="55" t="str">
        <f>VLOOKUP(B138,[1]Worksheet!$B$6:$C$153,2,0)</f>
        <v>SSI094</v>
      </c>
      <c r="D138" s="17"/>
      <c r="E138" s="56">
        <v>2</v>
      </c>
      <c r="F138" s="16">
        <v>1</v>
      </c>
      <c r="G138" s="16">
        <v>1</v>
      </c>
      <c r="H138" s="16">
        <v>1</v>
      </c>
      <c r="I138" s="16">
        <v>1</v>
      </c>
      <c r="J138" s="16">
        <v>1</v>
      </c>
      <c r="K138" s="16">
        <v>1</v>
      </c>
      <c r="L138" s="16"/>
      <c r="M138" s="16">
        <v>1</v>
      </c>
      <c r="N138" s="16">
        <v>1</v>
      </c>
      <c r="O138" s="16"/>
      <c r="P138" s="16">
        <v>1</v>
      </c>
      <c r="Q138" s="16">
        <v>1</v>
      </c>
      <c r="R138" s="56">
        <v>2</v>
      </c>
      <c r="S138" s="16">
        <v>1</v>
      </c>
      <c r="T138" s="16">
        <v>1</v>
      </c>
      <c r="U138" s="56">
        <v>2</v>
      </c>
      <c r="V138" s="16">
        <v>1</v>
      </c>
      <c r="W138" s="16"/>
      <c r="X138" s="16">
        <v>1</v>
      </c>
      <c r="Y138" s="16">
        <v>1</v>
      </c>
      <c r="Z138" s="16">
        <v>1</v>
      </c>
      <c r="AA138" s="16">
        <v>1</v>
      </c>
      <c r="AB138" s="16"/>
      <c r="AC138" s="16"/>
      <c r="AD138" s="16">
        <v>1</v>
      </c>
      <c r="AE138" s="16">
        <v>1</v>
      </c>
      <c r="AF138" s="16">
        <v>1</v>
      </c>
      <c r="AG138" s="16">
        <v>1</v>
      </c>
      <c r="AH138" s="16">
        <v>1</v>
      </c>
      <c r="AI138" s="57">
        <f t="shared" si="6"/>
        <v>28</v>
      </c>
      <c r="AJ138" s="89" t="s">
        <v>55</v>
      </c>
      <c r="AK138" s="3" t="s">
        <v>49</v>
      </c>
      <c r="AQ138" s="6"/>
      <c r="AR138" s="6"/>
      <c r="AS138" s="6"/>
      <c r="AT138" s="6"/>
    </row>
    <row r="139" spans="1:48" x14ac:dyDescent="0.2">
      <c r="A139" s="61">
        <v>17</v>
      </c>
      <c r="B139" s="17" t="s">
        <v>135</v>
      </c>
      <c r="C139" s="55" t="str">
        <f>VLOOKUP(B139,[1]Worksheet!$B$6:$C$153,2,0)</f>
        <v>SSI095</v>
      </c>
      <c r="D139" s="17"/>
      <c r="E139" s="16">
        <v>1</v>
      </c>
      <c r="F139" s="16">
        <v>1</v>
      </c>
      <c r="G139" s="16">
        <v>1</v>
      </c>
      <c r="H139" s="16">
        <v>1</v>
      </c>
      <c r="I139" s="56">
        <v>1</v>
      </c>
      <c r="J139" s="16">
        <v>1</v>
      </c>
      <c r="K139" s="16">
        <v>1</v>
      </c>
      <c r="L139" s="16">
        <v>0.5</v>
      </c>
      <c r="M139" s="16">
        <v>1</v>
      </c>
      <c r="N139" s="16">
        <v>1</v>
      </c>
      <c r="O139" s="16">
        <v>1</v>
      </c>
      <c r="P139" s="56">
        <v>1</v>
      </c>
      <c r="Q139" s="16">
        <v>1</v>
      </c>
      <c r="R139" s="16">
        <v>1</v>
      </c>
      <c r="S139" s="16">
        <v>1</v>
      </c>
      <c r="T139" s="16">
        <v>1</v>
      </c>
      <c r="U139" s="16">
        <v>1</v>
      </c>
      <c r="V139" s="16">
        <v>1</v>
      </c>
      <c r="W139" s="56">
        <v>1</v>
      </c>
      <c r="X139" s="16">
        <v>1</v>
      </c>
      <c r="Y139" s="16">
        <v>1</v>
      </c>
      <c r="Z139" s="16">
        <v>1</v>
      </c>
      <c r="AA139" s="16">
        <v>1</v>
      </c>
      <c r="AB139" s="16">
        <v>1</v>
      </c>
      <c r="AC139" s="16">
        <v>1</v>
      </c>
      <c r="AD139" s="56">
        <v>1</v>
      </c>
      <c r="AE139" s="16">
        <v>1</v>
      </c>
      <c r="AF139" s="16">
        <v>1</v>
      </c>
      <c r="AG139" s="16">
        <v>1</v>
      </c>
      <c r="AH139" s="16">
        <v>1</v>
      </c>
      <c r="AI139" s="57">
        <f t="shared" si="6"/>
        <v>29.5</v>
      </c>
      <c r="AJ139" s="19" t="s">
        <v>25</v>
      </c>
      <c r="AK139" s="3" t="s">
        <v>47</v>
      </c>
      <c r="AQ139" s="6"/>
      <c r="AR139" s="6"/>
      <c r="AS139" s="6"/>
      <c r="AT139" s="6"/>
    </row>
    <row r="140" spans="1:48" x14ac:dyDescent="0.2">
      <c r="A140" s="61">
        <v>18</v>
      </c>
      <c r="B140" s="131" t="s">
        <v>212</v>
      </c>
      <c r="C140" s="55" t="str">
        <f>VLOOKUP(B140,[1]Worksheet!$B$6:$C$153,2,0)</f>
        <v>SSI096</v>
      </c>
      <c r="D140" s="17"/>
      <c r="E140" s="16">
        <v>1</v>
      </c>
      <c r="F140" s="16">
        <v>1</v>
      </c>
      <c r="G140" s="16">
        <v>1</v>
      </c>
      <c r="H140" s="90">
        <v>1</v>
      </c>
      <c r="I140" s="56">
        <v>1</v>
      </c>
      <c r="J140" s="16">
        <v>1</v>
      </c>
      <c r="K140" s="16">
        <v>1</v>
      </c>
      <c r="L140" s="16">
        <v>1</v>
      </c>
      <c r="M140" s="16">
        <v>1</v>
      </c>
      <c r="N140" s="16"/>
      <c r="O140" s="16"/>
      <c r="P140" s="16"/>
      <c r="Q140" s="16">
        <v>1</v>
      </c>
      <c r="R140" s="16">
        <v>1</v>
      </c>
      <c r="S140" s="16">
        <v>1</v>
      </c>
      <c r="T140" s="16">
        <v>1</v>
      </c>
      <c r="U140" s="16">
        <v>1</v>
      </c>
      <c r="V140" s="16">
        <v>1</v>
      </c>
      <c r="W140" s="56">
        <v>1</v>
      </c>
      <c r="X140" s="16">
        <v>1</v>
      </c>
      <c r="Y140" s="16">
        <v>1</v>
      </c>
      <c r="Z140" s="16">
        <v>1</v>
      </c>
      <c r="AA140" s="16">
        <v>1</v>
      </c>
      <c r="AB140" s="16">
        <v>1</v>
      </c>
      <c r="AC140" s="16">
        <v>1</v>
      </c>
      <c r="AD140" s="56">
        <v>1</v>
      </c>
      <c r="AE140" s="16">
        <v>1</v>
      </c>
      <c r="AF140" s="16">
        <v>1</v>
      </c>
      <c r="AG140" s="16">
        <v>1</v>
      </c>
      <c r="AH140" s="16">
        <v>1</v>
      </c>
      <c r="AI140" s="57">
        <f t="shared" si="6"/>
        <v>27</v>
      </c>
      <c r="AJ140" s="19" t="s">
        <v>25</v>
      </c>
      <c r="AK140" s="3" t="s">
        <v>47</v>
      </c>
      <c r="AR140" s="6"/>
      <c r="AS140" s="6"/>
      <c r="AT140" s="6"/>
    </row>
    <row r="141" spans="1:48" x14ac:dyDescent="0.2">
      <c r="A141" s="61">
        <v>19</v>
      </c>
      <c r="B141" s="17" t="s">
        <v>136</v>
      </c>
      <c r="C141" s="55" t="str">
        <f>VLOOKUP(B141,[1]Worksheet!$B$6:$C$153,2,0)</f>
        <v>SSI097</v>
      </c>
      <c r="D141" s="17"/>
      <c r="E141" s="16">
        <v>1</v>
      </c>
      <c r="F141" s="16">
        <v>1</v>
      </c>
      <c r="G141" s="16">
        <v>1</v>
      </c>
      <c r="H141" s="16">
        <v>1</v>
      </c>
      <c r="I141" s="16">
        <v>1</v>
      </c>
      <c r="J141" s="56">
        <v>1</v>
      </c>
      <c r="K141" s="16">
        <v>1</v>
      </c>
      <c r="L141" s="16">
        <v>1</v>
      </c>
      <c r="M141" s="16">
        <v>1</v>
      </c>
      <c r="N141" s="16">
        <v>1</v>
      </c>
      <c r="O141" s="16">
        <v>1</v>
      </c>
      <c r="P141" s="16">
        <v>1</v>
      </c>
      <c r="Q141" s="56">
        <v>1</v>
      </c>
      <c r="R141" s="16">
        <v>1</v>
      </c>
      <c r="S141" s="16">
        <v>1</v>
      </c>
      <c r="T141" s="16">
        <v>1</v>
      </c>
      <c r="U141" s="16">
        <v>1</v>
      </c>
      <c r="V141" s="16">
        <v>1</v>
      </c>
      <c r="W141" s="16">
        <v>1</v>
      </c>
      <c r="X141" s="16">
        <v>1</v>
      </c>
      <c r="Y141" s="16">
        <v>1</v>
      </c>
      <c r="Z141" s="16">
        <v>1</v>
      </c>
      <c r="AA141" s="16">
        <v>1</v>
      </c>
      <c r="AB141" s="16">
        <v>1</v>
      </c>
      <c r="AC141" s="16">
        <v>1</v>
      </c>
      <c r="AD141" s="16"/>
      <c r="AE141" s="16"/>
      <c r="AF141" s="16"/>
      <c r="AG141" s="16">
        <v>1</v>
      </c>
      <c r="AH141" s="16">
        <v>1</v>
      </c>
      <c r="AI141" s="57">
        <f t="shared" si="6"/>
        <v>27</v>
      </c>
      <c r="AJ141" s="19" t="s">
        <v>30</v>
      </c>
      <c r="AK141" s="3" t="s">
        <v>47</v>
      </c>
      <c r="AR141" s="6"/>
      <c r="AS141" s="6"/>
      <c r="AT141" s="6"/>
    </row>
    <row r="142" spans="1:48" x14ac:dyDescent="0.2">
      <c r="A142" s="61">
        <v>21</v>
      </c>
      <c r="B142" s="17" t="s">
        <v>137</v>
      </c>
      <c r="C142" s="55" t="str">
        <f>VLOOKUP(B142,[1]Worksheet!$B$6:$C$153,2,0)</f>
        <v>SSI099</v>
      </c>
      <c r="D142" s="17"/>
      <c r="E142" s="16">
        <v>1</v>
      </c>
      <c r="F142" s="16">
        <v>1</v>
      </c>
      <c r="G142" s="56">
        <v>1</v>
      </c>
      <c r="H142" s="16">
        <v>1</v>
      </c>
      <c r="I142" s="16">
        <v>1</v>
      </c>
      <c r="J142" s="16">
        <v>1</v>
      </c>
      <c r="K142" s="16">
        <v>1</v>
      </c>
      <c r="L142" s="16">
        <v>1</v>
      </c>
      <c r="M142" s="16">
        <v>1</v>
      </c>
      <c r="N142" s="56">
        <v>1</v>
      </c>
      <c r="O142" s="16">
        <v>1</v>
      </c>
      <c r="P142" s="16">
        <v>1</v>
      </c>
      <c r="Q142" s="16">
        <v>1</v>
      </c>
      <c r="R142" s="16">
        <v>1</v>
      </c>
      <c r="S142" s="16">
        <v>1</v>
      </c>
      <c r="T142" s="16">
        <v>1</v>
      </c>
      <c r="U142" s="56">
        <v>1</v>
      </c>
      <c r="V142" s="16">
        <v>1</v>
      </c>
      <c r="W142" s="16">
        <v>1</v>
      </c>
      <c r="X142" s="16">
        <v>1</v>
      </c>
      <c r="Y142" s="16">
        <v>1</v>
      </c>
      <c r="Z142" s="16">
        <v>1</v>
      </c>
      <c r="AA142" s="16">
        <v>1</v>
      </c>
      <c r="AB142" s="56">
        <v>1</v>
      </c>
      <c r="AC142" s="16">
        <v>1</v>
      </c>
      <c r="AD142" s="16">
        <v>1</v>
      </c>
      <c r="AE142" s="16">
        <v>1</v>
      </c>
      <c r="AF142" s="16">
        <v>1</v>
      </c>
      <c r="AG142" s="16">
        <v>1</v>
      </c>
      <c r="AH142" s="16">
        <v>1</v>
      </c>
      <c r="AI142" s="57">
        <f t="shared" si="6"/>
        <v>30</v>
      </c>
      <c r="AJ142" s="19" t="s">
        <v>35</v>
      </c>
      <c r="AK142" s="3" t="s">
        <v>47</v>
      </c>
      <c r="AR142" s="6"/>
      <c r="AS142" s="6"/>
      <c r="AT142" s="6"/>
    </row>
    <row r="143" spans="1:48" x14ac:dyDescent="0.2">
      <c r="A143" s="61">
        <v>22</v>
      </c>
      <c r="B143" s="17" t="s">
        <v>138</v>
      </c>
      <c r="C143" s="55" t="e">
        <f>VLOOKUP(B143,[1]Worksheet!$B$6:$C$153,2,0)</f>
        <v>#N/A</v>
      </c>
      <c r="D143" s="17" t="s">
        <v>222</v>
      </c>
      <c r="E143" s="91">
        <v>1</v>
      </c>
      <c r="F143" s="91">
        <v>1</v>
      </c>
      <c r="G143" s="91">
        <v>1</v>
      </c>
      <c r="H143" s="92">
        <v>1</v>
      </c>
      <c r="I143" s="91">
        <v>1</v>
      </c>
      <c r="J143" s="91">
        <v>1</v>
      </c>
      <c r="K143" s="91">
        <v>1</v>
      </c>
      <c r="L143" s="91">
        <v>1</v>
      </c>
      <c r="M143" s="91">
        <v>1</v>
      </c>
      <c r="N143" s="92">
        <v>2</v>
      </c>
      <c r="O143" s="92">
        <v>1</v>
      </c>
      <c r="P143" s="92">
        <v>2</v>
      </c>
      <c r="Q143" s="91">
        <v>1</v>
      </c>
      <c r="R143" s="91">
        <v>1</v>
      </c>
      <c r="S143" s="91">
        <v>1</v>
      </c>
      <c r="T143" s="91">
        <v>1</v>
      </c>
      <c r="U143" s="91">
        <v>1</v>
      </c>
      <c r="V143" s="92">
        <v>1</v>
      </c>
      <c r="W143" s="91">
        <v>1</v>
      </c>
      <c r="X143" s="91">
        <v>1</v>
      </c>
      <c r="Y143" s="93">
        <v>1</v>
      </c>
      <c r="Z143" s="21">
        <v>1</v>
      </c>
      <c r="AA143" s="21">
        <v>1</v>
      </c>
      <c r="AB143" s="91">
        <v>1</v>
      </c>
      <c r="AC143" s="92">
        <v>1</v>
      </c>
      <c r="AD143" s="91">
        <v>1</v>
      </c>
      <c r="AE143" s="91">
        <v>1</v>
      </c>
      <c r="AF143" s="92">
        <v>1</v>
      </c>
      <c r="AG143" s="91">
        <v>1</v>
      </c>
      <c r="AH143" s="91">
        <v>1</v>
      </c>
      <c r="AI143" s="57">
        <f>SUM(E143:AH143)</f>
        <v>32</v>
      </c>
      <c r="AJ143" s="19" t="s">
        <v>28</v>
      </c>
      <c r="AK143" s="3" t="s">
        <v>47</v>
      </c>
      <c r="AR143" s="6"/>
      <c r="AS143" s="6"/>
      <c r="AT143" s="6"/>
    </row>
    <row r="144" spans="1:48" x14ac:dyDescent="0.2">
      <c r="A144" s="16">
        <v>23</v>
      </c>
      <c r="B144" s="17" t="s">
        <v>139</v>
      </c>
      <c r="C144" s="55" t="e">
        <f>VLOOKUP(B144,[1]Worksheet!$B$6:$C$153,2,0)</f>
        <v>#N/A</v>
      </c>
      <c r="D144" s="17" t="s">
        <v>222</v>
      </c>
      <c r="E144" s="94"/>
      <c r="F144" s="95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>
        <v>1</v>
      </c>
      <c r="S144" s="94">
        <v>1</v>
      </c>
      <c r="T144" s="94">
        <v>1</v>
      </c>
      <c r="U144" s="94">
        <v>1</v>
      </c>
      <c r="V144" s="94">
        <v>1</v>
      </c>
      <c r="W144" s="94">
        <v>1</v>
      </c>
      <c r="X144" s="94">
        <v>1</v>
      </c>
      <c r="Y144" s="94">
        <v>1</v>
      </c>
      <c r="Z144" s="94">
        <v>1</v>
      </c>
      <c r="AA144" s="94">
        <v>1</v>
      </c>
      <c r="AB144" s="94">
        <v>1</v>
      </c>
      <c r="AC144" s="94"/>
      <c r="AD144" s="94">
        <v>1</v>
      </c>
      <c r="AE144" s="94">
        <v>1</v>
      </c>
      <c r="AF144" s="94">
        <v>1</v>
      </c>
      <c r="AG144" s="94">
        <v>1</v>
      </c>
      <c r="AH144" s="94">
        <v>1</v>
      </c>
      <c r="AI144" s="57">
        <f>SUM(E144:AH144)</f>
        <v>16</v>
      </c>
      <c r="AJ144" s="18"/>
      <c r="AR144" s="6"/>
      <c r="AS144" s="6"/>
      <c r="AT144" s="6"/>
    </row>
    <row r="145" spans="1:46" x14ac:dyDescent="0.2">
      <c r="A145" s="29"/>
      <c r="B145" s="6"/>
      <c r="C145" s="6"/>
      <c r="D145" s="6"/>
      <c r="E145" s="30"/>
      <c r="F145" s="31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2"/>
      <c r="AJ145" s="19"/>
      <c r="AR145" s="6"/>
      <c r="AS145" s="6"/>
      <c r="AT145" s="6"/>
    </row>
    <row r="146" spans="1:46" s="6" customFormat="1" x14ac:dyDescent="0.2">
      <c r="A146" s="96"/>
      <c r="F146" s="97"/>
      <c r="AI146" s="32"/>
    </row>
    <row r="147" spans="1:46" s="6" customFormat="1" x14ac:dyDescent="0.2">
      <c r="A147" s="96"/>
      <c r="F147" s="97"/>
      <c r="S147" s="3"/>
      <c r="T147" s="3"/>
      <c r="U147" s="3"/>
      <c r="V147" s="3"/>
      <c r="W147" s="3"/>
      <c r="X147" s="3"/>
      <c r="AJ147" s="3"/>
    </row>
    <row r="148" spans="1:46" ht="14.25" customHeight="1" x14ac:dyDescent="0.2">
      <c r="A148" s="98" t="s">
        <v>56</v>
      </c>
      <c r="B148" s="33" t="s">
        <v>7</v>
      </c>
      <c r="C148" s="33"/>
      <c r="D148" s="33"/>
      <c r="E148" s="10" t="s">
        <v>8</v>
      </c>
      <c r="F148" s="11" t="s">
        <v>9</v>
      </c>
      <c r="G148" s="10" t="s">
        <v>10</v>
      </c>
      <c r="H148" s="10" t="s">
        <v>11</v>
      </c>
      <c r="I148" s="10" t="s">
        <v>12</v>
      </c>
      <c r="J148" s="10" t="s">
        <v>13</v>
      </c>
      <c r="K148" s="12" t="s">
        <v>14</v>
      </c>
      <c r="L148" s="10" t="s">
        <v>8</v>
      </c>
      <c r="M148" s="11" t="s">
        <v>9</v>
      </c>
      <c r="N148" s="10" t="s">
        <v>10</v>
      </c>
      <c r="O148" s="10" t="s">
        <v>11</v>
      </c>
      <c r="P148" s="10" t="s">
        <v>12</v>
      </c>
      <c r="Q148" s="10" t="s">
        <v>13</v>
      </c>
      <c r="R148" s="12" t="s">
        <v>14</v>
      </c>
      <c r="S148" s="10" t="s">
        <v>8</v>
      </c>
      <c r="T148" s="11" t="s">
        <v>9</v>
      </c>
      <c r="U148" s="10" t="s">
        <v>10</v>
      </c>
      <c r="V148" s="10" t="s">
        <v>11</v>
      </c>
      <c r="W148" s="10" t="s">
        <v>12</v>
      </c>
      <c r="X148" s="10" t="s">
        <v>13</v>
      </c>
      <c r="Y148" s="12" t="s">
        <v>14</v>
      </c>
      <c r="Z148" s="10" t="s">
        <v>8</v>
      </c>
      <c r="AA148" s="11" t="s">
        <v>9</v>
      </c>
      <c r="AB148" s="10" t="s">
        <v>10</v>
      </c>
      <c r="AC148" s="10" t="s">
        <v>11</v>
      </c>
      <c r="AD148" s="10" t="s">
        <v>12</v>
      </c>
      <c r="AE148" s="10" t="s">
        <v>13</v>
      </c>
      <c r="AF148" s="12" t="s">
        <v>14</v>
      </c>
      <c r="AG148" s="10" t="s">
        <v>8</v>
      </c>
      <c r="AH148" s="11" t="s">
        <v>9</v>
      </c>
      <c r="AI148" s="133" t="s">
        <v>15</v>
      </c>
      <c r="AJ148" s="3" t="s">
        <v>57</v>
      </c>
      <c r="AK148" s="3" t="s">
        <v>58</v>
      </c>
    </row>
    <row r="149" spans="1:46" ht="14.25" customHeight="1" x14ac:dyDescent="0.25">
      <c r="A149" s="9"/>
      <c r="B149" s="34" t="s">
        <v>59</v>
      </c>
      <c r="C149" s="34"/>
      <c r="D149" s="34"/>
      <c r="E149" s="15">
        <v>1</v>
      </c>
      <c r="F149" s="15">
        <v>2</v>
      </c>
      <c r="G149" s="15">
        <v>3</v>
      </c>
      <c r="H149" s="15">
        <v>4</v>
      </c>
      <c r="I149" s="15">
        <v>5</v>
      </c>
      <c r="J149" s="15">
        <v>6</v>
      </c>
      <c r="K149" s="15">
        <v>7</v>
      </c>
      <c r="L149" s="15">
        <v>8</v>
      </c>
      <c r="M149" s="15">
        <v>9</v>
      </c>
      <c r="N149" s="15">
        <v>10</v>
      </c>
      <c r="O149" s="15">
        <v>11</v>
      </c>
      <c r="P149" s="15">
        <v>12</v>
      </c>
      <c r="Q149" s="15">
        <v>13</v>
      </c>
      <c r="R149" s="15">
        <v>14</v>
      </c>
      <c r="S149" s="15">
        <v>15</v>
      </c>
      <c r="T149" s="15">
        <v>16</v>
      </c>
      <c r="U149" s="15">
        <v>17</v>
      </c>
      <c r="V149" s="15">
        <v>18</v>
      </c>
      <c r="W149" s="15">
        <v>19</v>
      </c>
      <c r="X149" s="15">
        <v>20</v>
      </c>
      <c r="Y149" s="15">
        <v>21</v>
      </c>
      <c r="Z149" s="15">
        <v>22</v>
      </c>
      <c r="AA149" s="15">
        <v>23</v>
      </c>
      <c r="AB149" s="15">
        <v>24</v>
      </c>
      <c r="AC149" s="15">
        <v>25</v>
      </c>
      <c r="AD149" s="15">
        <v>26</v>
      </c>
      <c r="AE149" s="15">
        <v>27</v>
      </c>
      <c r="AF149" s="15">
        <v>28</v>
      </c>
      <c r="AG149" s="15">
        <v>29</v>
      </c>
      <c r="AH149" s="15">
        <v>30</v>
      </c>
      <c r="AI149" s="134"/>
      <c r="AJ149" s="58"/>
    </row>
    <row r="150" spans="1:46" s="58" customFormat="1" ht="13.5" customHeight="1" x14ac:dyDescent="0.25">
      <c r="A150" s="54">
        <v>1</v>
      </c>
      <c r="B150" s="131" t="s">
        <v>213</v>
      </c>
      <c r="C150" s="99" t="str">
        <f>VLOOKUP(B150,[1]Worksheet!$B$6:$C$153,2,0)</f>
        <v>SSI100</v>
      </c>
      <c r="D150" s="99"/>
      <c r="E150" s="16">
        <v>1</v>
      </c>
      <c r="F150" s="56">
        <v>1</v>
      </c>
      <c r="G150" s="16">
        <v>1</v>
      </c>
      <c r="H150" s="16">
        <v>1</v>
      </c>
      <c r="I150" s="16">
        <v>1</v>
      </c>
      <c r="J150" s="16">
        <v>1</v>
      </c>
      <c r="K150" s="16">
        <v>1</v>
      </c>
      <c r="L150" s="16">
        <v>1</v>
      </c>
      <c r="M150" s="56">
        <v>1</v>
      </c>
      <c r="N150" s="16">
        <v>1</v>
      </c>
      <c r="O150" s="16">
        <v>1</v>
      </c>
      <c r="P150" s="16">
        <v>1</v>
      </c>
      <c r="Q150" s="16">
        <v>1</v>
      </c>
      <c r="R150" s="16">
        <v>1</v>
      </c>
      <c r="S150" s="16">
        <v>1</v>
      </c>
      <c r="T150" s="16"/>
      <c r="U150" s="16"/>
      <c r="V150" s="16">
        <v>1</v>
      </c>
      <c r="W150" s="16">
        <v>1</v>
      </c>
      <c r="X150" s="16">
        <v>1</v>
      </c>
      <c r="Y150" s="16">
        <v>1</v>
      </c>
      <c r="Z150" s="16">
        <v>1</v>
      </c>
      <c r="AA150" s="16"/>
      <c r="AB150" s="16">
        <v>1</v>
      </c>
      <c r="AC150" s="21">
        <v>1</v>
      </c>
      <c r="AD150" s="16">
        <v>1</v>
      </c>
      <c r="AE150" s="16">
        <v>1</v>
      </c>
      <c r="AF150" s="100">
        <v>1</v>
      </c>
      <c r="AG150" s="100">
        <v>1</v>
      </c>
      <c r="AH150" s="100">
        <v>1</v>
      </c>
      <c r="AI150" s="57">
        <f>SUM(E150:AH150)</f>
        <v>27</v>
      </c>
      <c r="AJ150" s="101" t="s">
        <v>60</v>
      </c>
      <c r="AK150" s="102" t="s">
        <v>61</v>
      </c>
      <c r="AL150" s="19"/>
      <c r="AM150" s="19"/>
      <c r="AN150" s="19"/>
      <c r="AO150" s="19"/>
    </row>
    <row r="151" spans="1:46" ht="14.25" customHeight="1" x14ac:dyDescent="0.25">
      <c r="A151" s="54">
        <v>2</v>
      </c>
      <c r="B151" s="17" t="s">
        <v>140</v>
      </c>
      <c r="C151" s="99" t="str">
        <f>VLOOKUP(B151,[1]Worksheet!$B$6:$C$153,2,0)</f>
        <v>SSI101</v>
      </c>
      <c r="D151" s="17"/>
      <c r="E151" s="16">
        <v>1</v>
      </c>
      <c r="F151" s="16">
        <v>1</v>
      </c>
      <c r="G151" s="16">
        <v>1</v>
      </c>
      <c r="H151" s="16">
        <v>1</v>
      </c>
      <c r="I151" s="16"/>
      <c r="J151" s="16">
        <v>1</v>
      </c>
      <c r="K151" s="56">
        <v>2</v>
      </c>
      <c r="L151" s="16">
        <v>1</v>
      </c>
      <c r="M151" s="16">
        <v>1</v>
      </c>
      <c r="N151" s="16">
        <v>1</v>
      </c>
      <c r="O151" s="16">
        <v>1</v>
      </c>
      <c r="P151" s="16"/>
      <c r="Q151" s="56">
        <v>1.5</v>
      </c>
      <c r="R151" s="56">
        <v>2</v>
      </c>
      <c r="S151" s="56">
        <v>1.5</v>
      </c>
      <c r="T151" s="56">
        <v>1</v>
      </c>
      <c r="U151" s="16">
        <v>1</v>
      </c>
      <c r="V151" s="16">
        <v>2</v>
      </c>
      <c r="W151" s="16"/>
      <c r="X151" s="16">
        <v>1</v>
      </c>
      <c r="Y151" s="56">
        <v>2</v>
      </c>
      <c r="Z151" s="16">
        <v>1</v>
      </c>
      <c r="AA151" s="16">
        <v>1</v>
      </c>
      <c r="AB151" s="16">
        <v>1</v>
      </c>
      <c r="AC151" s="16">
        <v>1</v>
      </c>
      <c r="AD151" s="16"/>
      <c r="AE151" s="16">
        <v>1</v>
      </c>
      <c r="AF151" s="100">
        <v>2</v>
      </c>
      <c r="AG151" s="103">
        <v>2</v>
      </c>
      <c r="AH151" s="100">
        <v>1</v>
      </c>
      <c r="AI151" s="57">
        <f t="shared" ref="AI151:AI196" si="7">SUM(E151:AH151)</f>
        <v>33</v>
      </c>
      <c r="AJ151" s="101" t="s">
        <v>23</v>
      </c>
      <c r="AK151" s="102" t="s">
        <v>61</v>
      </c>
      <c r="AL151" s="19"/>
      <c r="AM151" s="19"/>
      <c r="AN151" s="19"/>
      <c r="AO151" s="19"/>
    </row>
    <row r="152" spans="1:46" ht="14.25" customHeight="1" x14ac:dyDescent="0.25">
      <c r="A152" s="54">
        <v>3</v>
      </c>
      <c r="B152" s="17" t="s">
        <v>141</v>
      </c>
      <c r="C152" s="99" t="str">
        <f>VLOOKUP(B152,[1]Worksheet!$B$6:$C$153,2,0)</f>
        <v>SSI102</v>
      </c>
      <c r="D152" s="17"/>
      <c r="E152" s="16">
        <v>1</v>
      </c>
      <c r="F152" s="16">
        <v>1</v>
      </c>
      <c r="G152" s="56">
        <v>1</v>
      </c>
      <c r="H152" s="56">
        <v>1</v>
      </c>
      <c r="I152" s="16">
        <v>1</v>
      </c>
      <c r="J152" s="16">
        <v>1</v>
      </c>
      <c r="K152" s="56">
        <v>2</v>
      </c>
      <c r="L152" s="16">
        <v>1</v>
      </c>
      <c r="M152" s="16">
        <v>1</v>
      </c>
      <c r="N152" s="16"/>
      <c r="O152" s="16"/>
      <c r="P152" s="16"/>
      <c r="Q152" s="16"/>
      <c r="R152" s="16">
        <v>1</v>
      </c>
      <c r="S152" s="16">
        <v>1</v>
      </c>
      <c r="T152" s="16">
        <v>1</v>
      </c>
      <c r="U152" s="16">
        <v>1</v>
      </c>
      <c r="V152" s="56">
        <v>1</v>
      </c>
      <c r="W152" s="16">
        <v>1</v>
      </c>
      <c r="X152" s="16">
        <v>1</v>
      </c>
      <c r="Y152" s="16">
        <v>1</v>
      </c>
      <c r="Z152" s="16">
        <v>1</v>
      </c>
      <c r="AA152" s="56">
        <v>2</v>
      </c>
      <c r="AB152" s="61">
        <v>1</v>
      </c>
      <c r="AC152" s="104">
        <v>1</v>
      </c>
      <c r="AD152" s="104">
        <v>2</v>
      </c>
      <c r="AE152" s="61"/>
      <c r="AF152" s="105">
        <v>2</v>
      </c>
      <c r="AG152" s="106">
        <v>1</v>
      </c>
      <c r="AH152" s="106">
        <v>1</v>
      </c>
      <c r="AI152" s="57">
        <f t="shared" si="7"/>
        <v>29</v>
      </c>
      <c r="AJ152" s="107" t="s">
        <v>62</v>
      </c>
      <c r="AK152" s="108" t="s">
        <v>63</v>
      </c>
      <c r="AL152" s="21"/>
      <c r="AM152" s="21"/>
      <c r="AN152" s="21"/>
      <c r="AO152" s="21"/>
    </row>
    <row r="153" spans="1:46" s="86" customFormat="1" ht="14.25" customHeight="1" x14ac:dyDescent="0.25">
      <c r="A153" s="54">
        <v>4</v>
      </c>
      <c r="B153" s="109" t="s">
        <v>142</v>
      </c>
      <c r="C153" s="99" t="str">
        <f>VLOOKUP(B153,[1]Worksheet!$B$6:$C$153,2,0)</f>
        <v>SSI103</v>
      </c>
      <c r="D153" s="109"/>
      <c r="E153" s="16"/>
      <c r="F153" s="16">
        <v>1</v>
      </c>
      <c r="G153" s="16"/>
      <c r="H153" s="16"/>
      <c r="I153" s="16"/>
      <c r="J153" s="16"/>
      <c r="K153" s="16"/>
      <c r="L153" s="16"/>
      <c r="M153" s="16">
        <v>1</v>
      </c>
      <c r="N153" s="16">
        <v>1</v>
      </c>
      <c r="O153" s="16"/>
      <c r="P153" s="16"/>
      <c r="Q153" s="16"/>
      <c r="R153" s="16"/>
      <c r="S153" s="16"/>
      <c r="T153" s="16">
        <v>1</v>
      </c>
      <c r="U153" s="16"/>
      <c r="V153" s="16"/>
      <c r="W153" s="16"/>
      <c r="X153" s="16"/>
      <c r="Y153" s="16"/>
      <c r="Z153" s="16"/>
      <c r="AA153" s="16">
        <v>1</v>
      </c>
      <c r="AB153" s="16">
        <v>1</v>
      </c>
      <c r="AC153" s="16"/>
      <c r="AD153" s="16"/>
      <c r="AE153" s="16"/>
      <c r="AF153" s="100"/>
      <c r="AG153" s="100"/>
      <c r="AH153" s="100"/>
      <c r="AI153" s="57">
        <f t="shared" si="7"/>
        <v>6</v>
      </c>
      <c r="AJ153" s="101" t="s">
        <v>64</v>
      </c>
      <c r="AK153" s="108" t="s">
        <v>65</v>
      </c>
      <c r="AL153" s="21"/>
      <c r="AM153" s="21"/>
      <c r="AN153" s="21"/>
      <c r="AO153" s="21"/>
    </row>
    <row r="154" spans="1:46" ht="14.25" customHeight="1" x14ac:dyDescent="0.25">
      <c r="A154" s="54">
        <v>5</v>
      </c>
      <c r="B154" s="110" t="s">
        <v>143</v>
      </c>
      <c r="C154" s="99" t="str">
        <f>VLOOKUP(B154,[1]Worksheet!$B$6:$C$153,2,0)</f>
        <v>SSI104</v>
      </c>
      <c r="D154" s="110"/>
      <c r="E154" s="16">
        <v>1</v>
      </c>
      <c r="F154" s="16">
        <v>1</v>
      </c>
      <c r="G154" s="56">
        <v>1</v>
      </c>
      <c r="H154" s="16"/>
      <c r="I154" s="16"/>
      <c r="J154" s="16">
        <v>1</v>
      </c>
      <c r="K154" s="16">
        <v>1</v>
      </c>
      <c r="L154" s="16">
        <v>1</v>
      </c>
      <c r="M154" s="16">
        <v>1</v>
      </c>
      <c r="N154" s="16"/>
      <c r="O154" s="16">
        <v>1</v>
      </c>
      <c r="P154" s="16">
        <v>1</v>
      </c>
      <c r="Q154" s="16">
        <v>1</v>
      </c>
      <c r="R154" s="16">
        <v>1</v>
      </c>
      <c r="S154" s="16">
        <v>1</v>
      </c>
      <c r="T154" s="16"/>
      <c r="U154" s="73"/>
      <c r="V154" s="16">
        <v>1</v>
      </c>
      <c r="W154" s="16">
        <v>1</v>
      </c>
      <c r="X154" s="16">
        <v>1</v>
      </c>
      <c r="Y154" s="16">
        <v>1</v>
      </c>
      <c r="Z154" s="16">
        <v>1</v>
      </c>
      <c r="AA154" s="16">
        <v>1</v>
      </c>
      <c r="AB154" s="56">
        <v>1</v>
      </c>
      <c r="AC154" s="16">
        <v>1</v>
      </c>
      <c r="AD154" s="16">
        <v>1</v>
      </c>
      <c r="AE154" s="16">
        <v>1</v>
      </c>
      <c r="AF154" s="100">
        <v>1</v>
      </c>
      <c r="AG154" s="100">
        <v>1</v>
      </c>
      <c r="AH154" s="100">
        <v>1</v>
      </c>
      <c r="AI154" s="57">
        <f t="shared" si="7"/>
        <v>25</v>
      </c>
      <c r="AJ154" s="101" t="s">
        <v>66</v>
      </c>
      <c r="AK154" s="108" t="s">
        <v>65</v>
      </c>
      <c r="AL154" s="21"/>
      <c r="AM154" s="21"/>
      <c r="AN154" s="21"/>
      <c r="AO154" s="21"/>
    </row>
    <row r="155" spans="1:46" s="115" customFormat="1" ht="14.25" customHeight="1" x14ac:dyDescent="0.25">
      <c r="A155" s="111">
        <v>6</v>
      </c>
      <c r="B155" s="112" t="s">
        <v>144</v>
      </c>
      <c r="C155" s="99" t="str">
        <f>VLOOKUP(B155,[1]Worksheet!$B$6:$C$153,2,0)</f>
        <v>SSI105</v>
      </c>
      <c r="D155" s="112"/>
      <c r="E155" s="16">
        <v>1</v>
      </c>
      <c r="F155" s="16">
        <v>1</v>
      </c>
      <c r="G155" s="56">
        <v>1.5</v>
      </c>
      <c r="H155" s="16">
        <v>1</v>
      </c>
      <c r="I155" s="16">
        <v>1</v>
      </c>
      <c r="J155" s="16">
        <v>1</v>
      </c>
      <c r="K155" s="16"/>
      <c r="L155" s="16">
        <v>1</v>
      </c>
      <c r="M155" s="16">
        <v>1</v>
      </c>
      <c r="N155" s="56">
        <v>2</v>
      </c>
      <c r="O155" s="16">
        <v>1</v>
      </c>
      <c r="P155" s="16">
        <v>1</v>
      </c>
      <c r="Q155" s="16">
        <v>1</v>
      </c>
      <c r="R155" s="16"/>
      <c r="S155" s="16">
        <v>1</v>
      </c>
      <c r="T155" s="16">
        <v>1</v>
      </c>
      <c r="U155" s="56">
        <v>2</v>
      </c>
      <c r="V155" s="16"/>
      <c r="W155" s="16"/>
      <c r="X155" s="16"/>
      <c r="Y155" s="16"/>
      <c r="Z155" s="16"/>
      <c r="AA155" s="16"/>
      <c r="AB155" s="16"/>
      <c r="AC155" s="16">
        <v>1</v>
      </c>
      <c r="AD155" s="16">
        <v>1</v>
      </c>
      <c r="AE155" s="16">
        <v>1</v>
      </c>
      <c r="AF155" s="100"/>
      <c r="AG155" s="100">
        <v>1</v>
      </c>
      <c r="AH155" s="100">
        <v>1</v>
      </c>
      <c r="AI155" s="57">
        <f t="shared" si="7"/>
        <v>22.5</v>
      </c>
      <c r="AJ155" s="113" t="s">
        <v>67</v>
      </c>
      <c r="AK155" s="114" t="s">
        <v>61</v>
      </c>
      <c r="AL155" s="89"/>
      <c r="AM155" s="89"/>
      <c r="AN155" s="89"/>
      <c r="AO155" s="89"/>
    </row>
    <row r="156" spans="1:46" ht="14.25" customHeight="1" x14ac:dyDescent="0.25">
      <c r="A156" s="54">
        <v>7</v>
      </c>
      <c r="B156" s="110" t="s">
        <v>145</v>
      </c>
      <c r="C156" s="99" t="str">
        <f>VLOOKUP(B156,[1]Worksheet!$B$6:$C$153,2,0)</f>
        <v>SSI106</v>
      </c>
      <c r="D156" s="110"/>
      <c r="E156" s="16">
        <v>1</v>
      </c>
      <c r="F156" s="16">
        <v>1</v>
      </c>
      <c r="G156" s="16"/>
      <c r="H156" s="16">
        <v>1</v>
      </c>
      <c r="I156" s="16">
        <v>1</v>
      </c>
      <c r="J156" s="16">
        <v>1</v>
      </c>
      <c r="K156" s="16"/>
      <c r="L156" s="16"/>
      <c r="M156" s="16"/>
      <c r="N156" s="16"/>
      <c r="O156" s="86">
        <v>1</v>
      </c>
      <c r="P156" s="16">
        <v>1</v>
      </c>
      <c r="Q156" s="16">
        <v>1</v>
      </c>
      <c r="R156" s="16"/>
      <c r="S156" s="16">
        <v>1</v>
      </c>
      <c r="T156" s="16">
        <v>1</v>
      </c>
      <c r="U156" s="16">
        <v>1</v>
      </c>
      <c r="V156" s="16">
        <v>1</v>
      </c>
      <c r="W156" s="16">
        <v>1</v>
      </c>
      <c r="X156" s="16">
        <v>1</v>
      </c>
      <c r="Y156" s="16"/>
      <c r="Z156" s="16">
        <v>1</v>
      </c>
      <c r="AA156" s="16">
        <v>1</v>
      </c>
      <c r="AB156" s="16">
        <v>2</v>
      </c>
      <c r="AC156" s="16">
        <v>1</v>
      </c>
      <c r="AD156" s="16">
        <v>1</v>
      </c>
      <c r="AE156" s="16">
        <v>1</v>
      </c>
      <c r="AF156" s="100"/>
      <c r="AG156" s="100">
        <v>1</v>
      </c>
      <c r="AH156" s="100">
        <v>1</v>
      </c>
      <c r="AI156" s="57">
        <f t="shared" si="7"/>
        <v>23</v>
      </c>
      <c r="AJ156" s="101" t="s">
        <v>67</v>
      </c>
      <c r="AK156" s="108" t="s">
        <v>65</v>
      </c>
      <c r="AL156" s="21"/>
      <c r="AM156" s="21" t="s">
        <v>68</v>
      </c>
      <c r="AN156" s="21"/>
      <c r="AO156" s="21"/>
    </row>
    <row r="157" spans="1:46" ht="14.25" customHeight="1" x14ac:dyDescent="0.25">
      <c r="A157" s="54">
        <v>8</v>
      </c>
      <c r="B157" s="110" t="s">
        <v>146</v>
      </c>
      <c r="C157" s="99" t="str">
        <f>VLOOKUP(B157,[1]Worksheet!$B$6:$C$153,2,0)</f>
        <v>SSI107</v>
      </c>
      <c r="D157" s="110"/>
      <c r="E157" s="16">
        <v>1</v>
      </c>
      <c r="F157" s="16">
        <v>1</v>
      </c>
      <c r="G157" s="56">
        <v>1</v>
      </c>
      <c r="H157" s="16">
        <v>1</v>
      </c>
      <c r="I157" s="16">
        <v>1</v>
      </c>
      <c r="J157" s="16">
        <v>1</v>
      </c>
      <c r="K157" s="16">
        <v>1</v>
      </c>
      <c r="L157" s="16">
        <v>1</v>
      </c>
      <c r="M157" s="16">
        <v>1</v>
      </c>
      <c r="N157" s="56">
        <v>1</v>
      </c>
      <c r="O157" s="16">
        <v>1</v>
      </c>
      <c r="P157" s="16">
        <v>1</v>
      </c>
      <c r="Q157" s="56">
        <v>2</v>
      </c>
      <c r="R157" s="16">
        <v>1</v>
      </c>
      <c r="S157" s="16">
        <v>1</v>
      </c>
      <c r="T157" s="16">
        <v>1</v>
      </c>
      <c r="U157" s="56">
        <v>1</v>
      </c>
      <c r="V157" s="16">
        <v>1</v>
      </c>
      <c r="W157" s="16">
        <v>1</v>
      </c>
      <c r="X157" s="16">
        <v>1</v>
      </c>
      <c r="Y157" s="16">
        <v>1</v>
      </c>
      <c r="Z157" s="16">
        <v>1</v>
      </c>
      <c r="AA157" s="16">
        <v>1</v>
      </c>
      <c r="AB157" s="56">
        <v>1</v>
      </c>
      <c r="AC157" s="21">
        <v>1</v>
      </c>
      <c r="AD157" s="6">
        <v>1</v>
      </c>
      <c r="AE157" s="16">
        <v>1</v>
      </c>
      <c r="AF157" s="100">
        <v>1</v>
      </c>
      <c r="AG157" s="100">
        <v>1</v>
      </c>
      <c r="AH157" s="100">
        <v>1</v>
      </c>
      <c r="AI157" s="57">
        <f t="shared" si="7"/>
        <v>31</v>
      </c>
      <c r="AJ157" s="116" t="s">
        <v>69</v>
      </c>
      <c r="AK157" s="108" t="s">
        <v>63</v>
      </c>
      <c r="AL157" s="21"/>
      <c r="AN157" s="21"/>
      <c r="AO157" s="21"/>
    </row>
    <row r="158" spans="1:46" ht="14.25" customHeight="1" x14ac:dyDescent="0.25">
      <c r="A158" s="54">
        <v>9</v>
      </c>
      <c r="B158" s="110" t="s">
        <v>147</v>
      </c>
      <c r="C158" s="99" t="str">
        <f>VLOOKUP(B158,[1]Worksheet!$B$6:$C$153,2,0)</f>
        <v>SSI108</v>
      </c>
      <c r="D158" s="110"/>
      <c r="E158" s="16">
        <v>1</v>
      </c>
      <c r="F158" s="16">
        <v>1</v>
      </c>
      <c r="G158" s="16">
        <v>1</v>
      </c>
      <c r="H158" s="16">
        <v>1</v>
      </c>
      <c r="I158" s="56">
        <v>1</v>
      </c>
      <c r="J158" s="16"/>
      <c r="K158" s="16">
        <v>1</v>
      </c>
      <c r="L158" s="16">
        <v>1</v>
      </c>
      <c r="M158" s="16">
        <v>1</v>
      </c>
      <c r="N158" s="16">
        <v>1</v>
      </c>
      <c r="O158" s="16">
        <v>1</v>
      </c>
      <c r="P158" s="16"/>
      <c r="Q158" s="16">
        <v>1</v>
      </c>
      <c r="R158" s="16">
        <v>1</v>
      </c>
      <c r="S158" s="16"/>
      <c r="T158" s="16">
        <v>1</v>
      </c>
      <c r="U158" s="16">
        <v>1</v>
      </c>
      <c r="V158" s="16">
        <v>1</v>
      </c>
      <c r="W158" s="16"/>
      <c r="X158" s="16">
        <v>1</v>
      </c>
      <c r="Y158" s="16">
        <v>1</v>
      </c>
      <c r="Z158" s="19"/>
      <c r="AA158" s="117">
        <v>1</v>
      </c>
      <c r="AB158" s="16">
        <v>1</v>
      </c>
      <c r="AC158" s="16">
        <v>1</v>
      </c>
      <c r="AD158" s="16"/>
      <c r="AE158" s="16"/>
      <c r="AF158" s="100">
        <v>1</v>
      </c>
      <c r="AG158" s="100">
        <v>1</v>
      </c>
      <c r="AH158" s="100">
        <v>1</v>
      </c>
      <c r="AI158" s="57">
        <f t="shared" si="7"/>
        <v>23</v>
      </c>
      <c r="AJ158" s="101" t="s">
        <v>23</v>
      </c>
      <c r="AK158" s="108" t="s">
        <v>65</v>
      </c>
      <c r="AL158" s="21"/>
      <c r="AM158" s="21"/>
      <c r="AN158" s="21"/>
      <c r="AO158" s="21"/>
    </row>
    <row r="159" spans="1:46" ht="13.5" customHeight="1" x14ac:dyDescent="0.25">
      <c r="A159" s="54">
        <v>10</v>
      </c>
      <c r="B159" s="17" t="s">
        <v>148</v>
      </c>
      <c r="C159" s="99" t="str">
        <f>VLOOKUP(B159,[1]Worksheet!$B$6:$C$153,2,0)</f>
        <v>SSI109</v>
      </c>
      <c r="D159" s="17"/>
      <c r="E159" s="56">
        <v>1</v>
      </c>
      <c r="F159" s="16">
        <v>1</v>
      </c>
      <c r="G159" s="16">
        <v>1</v>
      </c>
      <c r="H159" s="16">
        <v>1</v>
      </c>
      <c r="I159" s="16">
        <v>1</v>
      </c>
      <c r="J159" s="16">
        <v>1</v>
      </c>
      <c r="K159" s="16">
        <v>1</v>
      </c>
      <c r="L159" s="56">
        <v>1</v>
      </c>
      <c r="M159" s="16">
        <v>2</v>
      </c>
      <c r="N159" s="56">
        <v>2</v>
      </c>
      <c r="O159" s="16">
        <v>1</v>
      </c>
      <c r="P159" s="16">
        <v>1</v>
      </c>
      <c r="Q159" s="56">
        <v>1.5</v>
      </c>
      <c r="R159" s="56">
        <v>1.5</v>
      </c>
      <c r="S159" s="56">
        <v>1</v>
      </c>
      <c r="T159" s="16">
        <v>1</v>
      </c>
      <c r="U159" s="16">
        <v>1</v>
      </c>
      <c r="V159" s="16">
        <v>1</v>
      </c>
      <c r="W159" s="16">
        <v>1</v>
      </c>
      <c r="X159" s="56">
        <v>1.5</v>
      </c>
      <c r="Y159" s="16">
        <v>1</v>
      </c>
      <c r="Z159" s="16">
        <v>1</v>
      </c>
      <c r="AA159" s="16">
        <v>1</v>
      </c>
      <c r="AB159" s="43">
        <v>1.5</v>
      </c>
      <c r="AC159" s="16">
        <v>1</v>
      </c>
      <c r="AD159" s="16">
        <v>1</v>
      </c>
      <c r="AE159" s="16">
        <v>1</v>
      </c>
      <c r="AF159" s="100">
        <v>1</v>
      </c>
      <c r="AG159" s="103">
        <v>1</v>
      </c>
      <c r="AH159" s="100">
        <v>1</v>
      </c>
      <c r="AI159" s="57">
        <f t="shared" si="7"/>
        <v>34</v>
      </c>
      <c r="AJ159" s="113" t="s">
        <v>70</v>
      </c>
      <c r="AK159" s="108" t="s">
        <v>63</v>
      </c>
      <c r="AL159" s="21"/>
      <c r="AM159" s="21"/>
      <c r="AN159" s="21"/>
      <c r="AO159" s="21"/>
    </row>
    <row r="160" spans="1:46" ht="14.25" customHeight="1" x14ac:dyDescent="0.25">
      <c r="A160" s="54">
        <v>11</v>
      </c>
      <c r="B160" s="17" t="s">
        <v>149</v>
      </c>
      <c r="C160" s="99" t="str">
        <f>VLOOKUP(B160,[1]Worksheet!$B$6:$C$153,2,0)</f>
        <v>SSI110</v>
      </c>
      <c r="D160" s="17"/>
      <c r="E160" s="16"/>
      <c r="F160" s="16"/>
      <c r="G160" s="16">
        <v>1</v>
      </c>
      <c r="H160" s="16">
        <v>1</v>
      </c>
      <c r="I160" s="16"/>
      <c r="J160" s="16">
        <v>1</v>
      </c>
      <c r="K160" s="16">
        <v>1</v>
      </c>
      <c r="L160" s="16"/>
      <c r="M160" s="16"/>
      <c r="N160" s="16"/>
      <c r="O160" s="16"/>
      <c r="P160" s="16"/>
      <c r="Q160" s="16">
        <v>1</v>
      </c>
      <c r="R160" s="16">
        <v>1</v>
      </c>
      <c r="S160" s="16"/>
      <c r="T160" s="56">
        <v>1</v>
      </c>
      <c r="U160" s="16">
        <v>1</v>
      </c>
      <c r="V160" s="16">
        <v>1</v>
      </c>
      <c r="W160" s="16">
        <v>1</v>
      </c>
      <c r="X160" s="16">
        <v>1</v>
      </c>
      <c r="Y160" s="21">
        <v>1</v>
      </c>
      <c r="Z160" s="16"/>
      <c r="AA160" s="16"/>
      <c r="AB160" s="16">
        <v>1</v>
      </c>
      <c r="AC160" s="16">
        <v>1</v>
      </c>
      <c r="AD160" s="16">
        <v>1</v>
      </c>
      <c r="AE160" s="16">
        <v>1</v>
      </c>
      <c r="AF160" s="100">
        <v>1</v>
      </c>
      <c r="AG160" s="100">
        <v>1</v>
      </c>
      <c r="AH160" s="100"/>
      <c r="AI160" s="57">
        <f t="shared" si="7"/>
        <v>18</v>
      </c>
      <c r="AJ160" s="101" t="s">
        <v>60</v>
      </c>
      <c r="AK160" s="108" t="s">
        <v>63</v>
      </c>
      <c r="AL160" s="21"/>
      <c r="AM160" s="21"/>
      <c r="AN160" s="21"/>
      <c r="AO160" s="21"/>
    </row>
    <row r="161" spans="1:41" ht="13.5" customHeight="1" x14ac:dyDescent="0.25">
      <c r="A161" s="54">
        <v>12</v>
      </c>
      <c r="B161" s="17" t="s">
        <v>150</v>
      </c>
      <c r="C161" s="99" t="str">
        <f>VLOOKUP(B161,[1]Worksheet!$B$6:$C$153,2,0)</f>
        <v>SSI111</v>
      </c>
      <c r="D161" s="17"/>
      <c r="E161" s="16">
        <v>1</v>
      </c>
      <c r="F161" s="16">
        <v>1</v>
      </c>
      <c r="G161" s="56">
        <v>1</v>
      </c>
      <c r="H161" s="16">
        <v>1</v>
      </c>
      <c r="I161" s="16">
        <v>1</v>
      </c>
      <c r="J161" s="16">
        <v>1</v>
      </c>
      <c r="K161" s="16">
        <v>1</v>
      </c>
      <c r="L161" s="16"/>
      <c r="M161" s="16">
        <v>1</v>
      </c>
      <c r="N161" s="16">
        <v>1</v>
      </c>
      <c r="O161" s="56">
        <v>2</v>
      </c>
      <c r="P161" s="16">
        <v>1</v>
      </c>
      <c r="Q161" s="16">
        <v>1</v>
      </c>
      <c r="R161" s="16">
        <v>1</v>
      </c>
      <c r="S161" s="16">
        <v>1</v>
      </c>
      <c r="T161" s="16">
        <v>1</v>
      </c>
      <c r="U161" s="16"/>
      <c r="V161" s="16">
        <v>1</v>
      </c>
      <c r="W161" s="16">
        <v>1</v>
      </c>
      <c r="X161" s="16">
        <v>1</v>
      </c>
      <c r="Y161" s="16">
        <v>1</v>
      </c>
      <c r="Z161" s="16">
        <v>1</v>
      </c>
      <c r="AA161" s="43">
        <v>1.5</v>
      </c>
      <c r="AB161" s="56">
        <v>1</v>
      </c>
      <c r="AC161" s="16">
        <v>1</v>
      </c>
      <c r="AD161" s="16">
        <v>1</v>
      </c>
      <c r="AE161" s="16">
        <v>1</v>
      </c>
      <c r="AF161" s="100">
        <v>1</v>
      </c>
      <c r="AG161" s="100">
        <v>1</v>
      </c>
      <c r="AH161" s="100">
        <v>1</v>
      </c>
      <c r="AI161" s="57">
        <f t="shared" si="7"/>
        <v>29.5</v>
      </c>
      <c r="AJ161" s="113" t="s">
        <v>36</v>
      </c>
      <c r="AK161" s="108" t="s">
        <v>65</v>
      </c>
      <c r="AL161" s="21"/>
      <c r="AM161" s="21"/>
      <c r="AN161" s="21"/>
      <c r="AO161" s="21"/>
    </row>
    <row r="162" spans="1:41" ht="15.75" x14ac:dyDescent="0.25">
      <c r="A162" s="54">
        <v>13</v>
      </c>
      <c r="B162" s="17" t="s">
        <v>151</v>
      </c>
      <c r="C162" s="99" t="str">
        <f>VLOOKUP(B162,[1]Worksheet!$B$6:$C$153,2,0)</f>
        <v>SSI112</v>
      </c>
      <c r="D162" s="17"/>
      <c r="E162" s="16"/>
      <c r="F162" s="16"/>
      <c r="G162" s="16"/>
      <c r="H162" s="16">
        <v>1</v>
      </c>
      <c r="I162" s="56">
        <v>2</v>
      </c>
      <c r="J162" s="16">
        <v>1</v>
      </c>
      <c r="K162" s="16">
        <v>1</v>
      </c>
      <c r="L162" s="16">
        <v>1</v>
      </c>
      <c r="M162" s="16">
        <v>1</v>
      </c>
      <c r="N162" s="16"/>
      <c r="O162" s="16">
        <v>1</v>
      </c>
      <c r="P162" s="56">
        <v>2</v>
      </c>
      <c r="Q162" s="16">
        <v>1</v>
      </c>
      <c r="R162" s="16">
        <v>1</v>
      </c>
      <c r="S162" s="16">
        <v>1</v>
      </c>
      <c r="T162" s="16">
        <v>1</v>
      </c>
      <c r="U162" s="56">
        <v>1</v>
      </c>
      <c r="V162" s="56">
        <v>1.5</v>
      </c>
      <c r="W162" s="56">
        <v>2</v>
      </c>
      <c r="X162" s="56">
        <v>2</v>
      </c>
      <c r="Y162" s="16">
        <v>1</v>
      </c>
      <c r="Z162" s="56">
        <v>1.5</v>
      </c>
      <c r="AA162" s="16">
        <v>1</v>
      </c>
      <c r="AB162" s="56">
        <v>2</v>
      </c>
      <c r="AC162" s="16">
        <v>1</v>
      </c>
      <c r="AD162" s="56">
        <v>2</v>
      </c>
      <c r="AE162" s="16">
        <v>1</v>
      </c>
      <c r="AF162" s="100">
        <v>1</v>
      </c>
      <c r="AG162" s="100">
        <v>1</v>
      </c>
      <c r="AH162" s="100">
        <v>1</v>
      </c>
      <c r="AI162" s="57">
        <f t="shared" si="7"/>
        <v>33</v>
      </c>
      <c r="AJ162" s="101" t="s">
        <v>36</v>
      </c>
      <c r="AK162" s="102" t="s">
        <v>61</v>
      </c>
      <c r="AL162" s="19"/>
      <c r="AM162" s="19"/>
      <c r="AN162" s="19"/>
      <c r="AO162" s="19"/>
    </row>
    <row r="163" spans="1:41" ht="13.5" customHeight="1" x14ac:dyDescent="0.25">
      <c r="A163" s="54">
        <v>14</v>
      </c>
      <c r="B163" s="132" t="s">
        <v>214</v>
      </c>
      <c r="C163" s="99" t="str">
        <f>VLOOKUP(B163,[1]Worksheet!$B$6:$C$153,2,0)</f>
        <v>SSI113</v>
      </c>
      <c r="D163" s="17"/>
      <c r="E163" s="16">
        <v>1</v>
      </c>
      <c r="F163" s="56">
        <v>1</v>
      </c>
      <c r="G163" s="16">
        <v>1</v>
      </c>
      <c r="H163" s="56">
        <v>2</v>
      </c>
      <c r="I163" s="16">
        <v>1</v>
      </c>
      <c r="J163" s="56">
        <v>2</v>
      </c>
      <c r="K163" s="16">
        <v>1</v>
      </c>
      <c r="L163" s="16">
        <v>1</v>
      </c>
      <c r="M163" s="56">
        <v>1</v>
      </c>
      <c r="N163" s="16">
        <v>1</v>
      </c>
      <c r="O163" s="16">
        <v>2</v>
      </c>
      <c r="P163" s="16">
        <v>1</v>
      </c>
      <c r="Q163" s="16">
        <v>1</v>
      </c>
      <c r="R163" s="16">
        <v>1</v>
      </c>
      <c r="S163" s="16">
        <v>1</v>
      </c>
      <c r="T163" s="56">
        <v>1</v>
      </c>
      <c r="U163" s="16">
        <v>1</v>
      </c>
      <c r="V163" s="16">
        <v>1</v>
      </c>
      <c r="W163" s="16">
        <v>1</v>
      </c>
      <c r="X163" s="16">
        <v>1</v>
      </c>
      <c r="Y163" s="16">
        <v>1</v>
      </c>
      <c r="Z163" s="16">
        <v>1</v>
      </c>
      <c r="AA163" s="56">
        <v>1</v>
      </c>
      <c r="AB163" s="16">
        <v>1</v>
      </c>
      <c r="AC163" s="16">
        <v>1</v>
      </c>
      <c r="AD163" s="16">
        <v>1</v>
      </c>
      <c r="AE163" s="16">
        <v>1</v>
      </c>
      <c r="AF163" s="100">
        <v>1</v>
      </c>
      <c r="AG163" s="100">
        <v>1</v>
      </c>
      <c r="AH163" s="103">
        <v>1</v>
      </c>
      <c r="AI163" s="57">
        <f t="shared" si="7"/>
        <v>33</v>
      </c>
      <c r="AJ163" s="101" t="s">
        <v>60</v>
      </c>
      <c r="AK163" s="118" t="s">
        <v>71</v>
      </c>
      <c r="AL163" s="6"/>
      <c r="AM163" s="6"/>
      <c r="AN163" s="6"/>
      <c r="AO163" s="6"/>
    </row>
    <row r="164" spans="1:41" ht="14.25" customHeight="1" x14ac:dyDescent="0.25">
      <c r="A164" s="54">
        <v>15</v>
      </c>
      <c r="B164" s="17" t="s">
        <v>152</v>
      </c>
      <c r="C164" s="99" t="str">
        <f>VLOOKUP(B164,[1]Worksheet!$B$6:$C$153,2,0)</f>
        <v>SSI114</v>
      </c>
      <c r="D164" s="17"/>
      <c r="E164" s="16">
        <v>1</v>
      </c>
      <c r="F164" s="16">
        <v>1</v>
      </c>
      <c r="G164" s="16">
        <v>1</v>
      </c>
      <c r="H164" s="16"/>
      <c r="I164" s="16"/>
      <c r="J164" s="16"/>
      <c r="K164" s="16">
        <v>1</v>
      </c>
      <c r="L164" s="16">
        <v>1</v>
      </c>
      <c r="M164" s="16">
        <v>1</v>
      </c>
      <c r="N164" s="16">
        <v>1</v>
      </c>
      <c r="O164" s="16"/>
      <c r="P164" s="16">
        <v>1</v>
      </c>
      <c r="Q164" s="16">
        <v>1</v>
      </c>
      <c r="R164" s="16">
        <v>1</v>
      </c>
      <c r="S164" s="16">
        <v>1</v>
      </c>
      <c r="T164" s="16"/>
      <c r="V164" s="16"/>
      <c r="W164" s="16"/>
      <c r="X164" s="16"/>
      <c r="Y164" s="16">
        <v>1</v>
      </c>
      <c r="Z164" s="16">
        <v>1</v>
      </c>
      <c r="AA164" s="16">
        <v>1</v>
      </c>
      <c r="AB164" s="16">
        <v>1</v>
      </c>
      <c r="AC164" s="16">
        <v>1</v>
      </c>
      <c r="AD164" s="16">
        <v>1</v>
      </c>
      <c r="AE164" s="16">
        <v>1</v>
      </c>
      <c r="AF164" s="100">
        <v>1</v>
      </c>
      <c r="AG164" s="100">
        <v>1</v>
      </c>
      <c r="AH164" s="100"/>
      <c r="AI164" s="57">
        <f t="shared" si="7"/>
        <v>20</v>
      </c>
      <c r="AJ164" s="101" t="s">
        <v>62</v>
      </c>
      <c r="AK164" s="118" t="s">
        <v>71</v>
      </c>
      <c r="AL164" s="6"/>
      <c r="AM164" s="6"/>
      <c r="AN164" s="6"/>
      <c r="AO164" s="6"/>
    </row>
    <row r="165" spans="1:41" ht="14.25" customHeight="1" x14ac:dyDescent="0.25">
      <c r="A165" s="54">
        <v>16</v>
      </c>
      <c r="B165" s="17" t="s">
        <v>153</v>
      </c>
      <c r="C165" s="99" t="str">
        <f>VLOOKUP(B165,[1]Worksheet!$B$6:$C$153,2,0)</f>
        <v>SSI115</v>
      </c>
      <c r="D165" s="17"/>
      <c r="E165" s="16">
        <v>1</v>
      </c>
      <c r="F165" s="56">
        <v>2</v>
      </c>
      <c r="G165" s="56">
        <v>1</v>
      </c>
      <c r="H165" s="16">
        <v>1</v>
      </c>
      <c r="I165" s="16">
        <v>1</v>
      </c>
      <c r="J165" s="16">
        <v>1</v>
      </c>
      <c r="K165" s="16">
        <v>1</v>
      </c>
      <c r="L165" s="16">
        <v>1</v>
      </c>
      <c r="M165" s="16">
        <v>1</v>
      </c>
      <c r="N165" s="16"/>
      <c r="O165" s="16"/>
      <c r="P165" s="16">
        <v>1</v>
      </c>
      <c r="Q165" s="16"/>
      <c r="R165" s="16"/>
      <c r="S165" s="56">
        <v>2</v>
      </c>
      <c r="T165" s="16">
        <v>1</v>
      </c>
      <c r="U165" s="56">
        <v>1</v>
      </c>
      <c r="V165" s="16">
        <v>1</v>
      </c>
      <c r="W165" s="16">
        <v>1</v>
      </c>
      <c r="X165" s="43">
        <v>1</v>
      </c>
      <c r="Y165" s="6">
        <v>1</v>
      </c>
      <c r="Z165" s="16">
        <v>1</v>
      </c>
      <c r="AA165" s="16">
        <v>1</v>
      </c>
      <c r="AB165" s="56">
        <v>1</v>
      </c>
      <c r="AC165" s="16">
        <v>1</v>
      </c>
      <c r="AD165" s="16">
        <v>1</v>
      </c>
      <c r="AE165" s="16">
        <v>1</v>
      </c>
      <c r="AF165" s="100">
        <v>1</v>
      </c>
      <c r="AG165" s="103">
        <v>2</v>
      </c>
      <c r="AH165" s="100">
        <v>1</v>
      </c>
      <c r="AI165" s="57">
        <f t="shared" si="7"/>
        <v>29</v>
      </c>
      <c r="AJ165" s="101" t="s">
        <v>36</v>
      </c>
      <c r="AK165" s="108" t="s">
        <v>63</v>
      </c>
      <c r="AL165" s="21"/>
      <c r="AM165" s="21"/>
      <c r="AN165" s="21"/>
      <c r="AO165" s="21"/>
    </row>
    <row r="166" spans="1:41" ht="14.25" customHeight="1" x14ac:dyDescent="0.25">
      <c r="A166" s="54">
        <v>17</v>
      </c>
      <c r="B166" s="17" t="s">
        <v>154</v>
      </c>
      <c r="C166" s="99" t="str">
        <f>VLOOKUP(B166,[1]Worksheet!$B$6:$C$153,2,0)</f>
        <v>SSI116</v>
      </c>
      <c r="D166" s="17"/>
      <c r="E166" s="16">
        <v>1</v>
      </c>
      <c r="F166" s="16">
        <v>1</v>
      </c>
      <c r="G166" s="16">
        <v>1</v>
      </c>
      <c r="H166" s="16">
        <v>1</v>
      </c>
      <c r="I166" s="56">
        <v>1</v>
      </c>
      <c r="J166" s="16">
        <v>1</v>
      </c>
      <c r="K166" s="16">
        <v>1</v>
      </c>
      <c r="L166" s="16">
        <v>1</v>
      </c>
      <c r="M166" s="56">
        <v>2</v>
      </c>
      <c r="N166" s="56">
        <v>1.5</v>
      </c>
      <c r="O166" s="16">
        <v>1.5</v>
      </c>
      <c r="P166" s="56">
        <v>1</v>
      </c>
      <c r="Q166" s="16">
        <v>1</v>
      </c>
      <c r="R166" s="16">
        <v>1</v>
      </c>
      <c r="S166" s="16">
        <v>1</v>
      </c>
      <c r="T166" s="16">
        <v>1</v>
      </c>
      <c r="U166" s="16">
        <v>1</v>
      </c>
      <c r="V166" s="16">
        <v>1</v>
      </c>
      <c r="W166" s="56">
        <v>1</v>
      </c>
      <c r="X166" s="16">
        <v>1</v>
      </c>
      <c r="Y166" s="16">
        <v>1</v>
      </c>
      <c r="Z166" s="16">
        <v>1</v>
      </c>
      <c r="AA166" s="16"/>
      <c r="AB166" s="16">
        <v>1</v>
      </c>
      <c r="AC166" s="16">
        <v>1</v>
      </c>
      <c r="AD166" s="56">
        <v>1</v>
      </c>
      <c r="AE166" s="56">
        <v>1.5</v>
      </c>
      <c r="AF166" s="100">
        <v>1</v>
      </c>
      <c r="AG166" s="100">
        <v>1</v>
      </c>
      <c r="AH166" s="100">
        <v>1</v>
      </c>
      <c r="AI166" s="119">
        <f t="shared" si="7"/>
        <v>31.5</v>
      </c>
      <c r="AJ166" s="101" t="s">
        <v>23</v>
      </c>
      <c r="AK166" s="108" t="s">
        <v>63</v>
      </c>
      <c r="AL166" s="21"/>
      <c r="AM166" s="21"/>
      <c r="AN166" s="21"/>
      <c r="AO166" s="21"/>
    </row>
    <row r="167" spans="1:41" ht="14.25" customHeight="1" x14ac:dyDescent="0.25">
      <c r="A167" s="54">
        <v>18</v>
      </c>
      <c r="B167" s="17" t="s">
        <v>155</v>
      </c>
      <c r="C167" s="99" t="str">
        <f>VLOOKUP(B167,[1]Worksheet!$B$6:$C$153,2,0)</f>
        <v>SSI117</v>
      </c>
      <c r="D167" s="17"/>
      <c r="E167" s="16">
        <v>1</v>
      </c>
      <c r="F167" s="16">
        <v>1</v>
      </c>
      <c r="G167" s="56">
        <v>2</v>
      </c>
      <c r="H167" s="16">
        <v>1</v>
      </c>
      <c r="I167" s="16">
        <v>1</v>
      </c>
      <c r="J167" s="16">
        <v>1</v>
      </c>
      <c r="K167" s="16"/>
      <c r="L167" s="16">
        <v>1</v>
      </c>
      <c r="M167" s="16">
        <v>1</v>
      </c>
      <c r="N167" s="56">
        <v>2</v>
      </c>
      <c r="O167" s="16">
        <v>1</v>
      </c>
      <c r="P167" s="16">
        <v>1</v>
      </c>
      <c r="Q167" s="16">
        <v>1</v>
      </c>
      <c r="R167" s="16"/>
      <c r="S167" s="16">
        <v>1</v>
      </c>
      <c r="T167" s="16">
        <v>1</v>
      </c>
      <c r="U167" s="56">
        <v>2</v>
      </c>
      <c r="V167" s="16">
        <v>1</v>
      </c>
      <c r="W167" s="16">
        <v>1</v>
      </c>
      <c r="X167" s="16">
        <v>1</v>
      </c>
      <c r="Y167" s="16"/>
      <c r="Z167" s="19"/>
      <c r="AA167" s="16"/>
      <c r="AB167" s="56">
        <v>2</v>
      </c>
      <c r="AC167" s="56">
        <v>1</v>
      </c>
      <c r="AD167" s="16">
        <v>1</v>
      </c>
      <c r="AE167" s="16">
        <v>1</v>
      </c>
      <c r="AF167" s="100"/>
      <c r="AG167" s="100">
        <v>1</v>
      </c>
      <c r="AH167" s="100"/>
      <c r="AI167" s="57">
        <f t="shared" si="7"/>
        <v>27</v>
      </c>
      <c r="AJ167" s="101" t="s">
        <v>67</v>
      </c>
      <c r="AK167" s="118" t="s">
        <v>71</v>
      </c>
      <c r="AL167" s="6"/>
      <c r="AM167" s="6"/>
      <c r="AN167" s="6"/>
      <c r="AO167" s="6"/>
    </row>
    <row r="168" spans="1:41" ht="14.25" customHeight="1" x14ac:dyDescent="0.25">
      <c r="A168" s="54">
        <v>19</v>
      </c>
      <c r="B168" s="17" t="s">
        <v>156</v>
      </c>
      <c r="C168" s="99" t="str">
        <f>VLOOKUP(B168,[1]Worksheet!$B$6:$C$153,2,0)</f>
        <v>SSI118</v>
      </c>
      <c r="D168" s="17"/>
      <c r="E168" s="56">
        <v>1</v>
      </c>
      <c r="F168" s="16">
        <v>1</v>
      </c>
      <c r="G168" s="16">
        <v>1</v>
      </c>
      <c r="H168" s="16">
        <v>1</v>
      </c>
      <c r="I168" s="16">
        <v>1</v>
      </c>
      <c r="J168" s="16">
        <v>1</v>
      </c>
      <c r="K168" s="16">
        <v>1</v>
      </c>
      <c r="L168" s="56">
        <v>1</v>
      </c>
      <c r="M168" s="16">
        <v>1</v>
      </c>
      <c r="N168" s="16">
        <v>1</v>
      </c>
      <c r="O168" s="16">
        <v>1</v>
      </c>
      <c r="P168" s="16">
        <v>1</v>
      </c>
      <c r="Q168" s="16"/>
      <c r="R168" s="16">
        <v>1</v>
      </c>
      <c r="S168" s="56">
        <v>1</v>
      </c>
      <c r="T168" s="16">
        <v>1</v>
      </c>
      <c r="U168" s="16">
        <v>1</v>
      </c>
      <c r="V168" s="16">
        <v>1</v>
      </c>
      <c r="W168" s="16">
        <v>1</v>
      </c>
      <c r="X168" s="16">
        <v>1</v>
      </c>
      <c r="Y168" s="16">
        <v>1</v>
      </c>
      <c r="Z168" s="16">
        <v>1</v>
      </c>
      <c r="AA168" s="16"/>
      <c r="AB168" s="16">
        <v>1</v>
      </c>
      <c r="AC168" s="16">
        <v>1</v>
      </c>
      <c r="AD168" s="16">
        <v>1</v>
      </c>
      <c r="AE168" s="16">
        <v>1</v>
      </c>
      <c r="AF168" s="100">
        <v>1</v>
      </c>
      <c r="AG168" s="103">
        <v>1</v>
      </c>
      <c r="AH168" s="100">
        <v>1</v>
      </c>
      <c r="AI168" s="57">
        <f t="shared" si="7"/>
        <v>28</v>
      </c>
      <c r="AJ168" s="113" t="s">
        <v>70</v>
      </c>
      <c r="AK168" s="108" t="s">
        <v>63</v>
      </c>
      <c r="AL168" s="21"/>
      <c r="AM168" s="21"/>
      <c r="AN168" s="21"/>
      <c r="AO168" s="21"/>
    </row>
    <row r="169" spans="1:41" ht="15.75" x14ac:dyDescent="0.25">
      <c r="A169" s="54">
        <v>20</v>
      </c>
      <c r="B169" s="17" t="s">
        <v>157</v>
      </c>
      <c r="C169" s="99" t="str">
        <f>VLOOKUP(B169,[1]Worksheet!$B$6:$C$153,2,0)</f>
        <v>SSI119</v>
      </c>
      <c r="D169" s="17"/>
      <c r="E169" s="16">
        <v>1</v>
      </c>
      <c r="F169" s="16">
        <v>1</v>
      </c>
      <c r="G169" s="16"/>
      <c r="H169" s="16">
        <v>1</v>
      </c>
      <c r="I169" s="56">
        <v>2</v>
      </c>
      <c r="J169" s="16">
        <v>1</v>
      </c>
      <c r="K169" s="16">
        <v>1</v>
      </c>
      <c r="L169" s="56">
        <v>2</v>
      </c>
      <c r="M169" s="16">
        <v>1</v>
      </c>
      <c r="N169" s="16"/>
      <c r="O169" s="16">
        <v>1</v>
      </c>
      <c r="P169" s="56">
        <v>2</v>
      </c>
      <c r="Q169" s="16"/>
      <c r="R169" s="16"/>
      <c r="S169" s="16"/>
      <c r="T169" s="16"/>
      <c r="U169" s="16"/>
      <c r="V169" s="16"/>
      <c r="W169" s="16">
        <v>2</v>
      </c>
      <c r="X169" s="16">
        <v>1</v>
      </c>
      <c r="Y169" s="16">
        <v>1</v>
      </c>
      <c r="Z169" s="16">
        <v>1</v>
      </c>
      <c r="AA169" s="16">
        <v>1</v>
      </c>
      <c r="AB169" s="16"/>
      <c r="AC169" s="16">
        <v>1</v>
      </c>
      <c r="AD169" s="56">
        <v>2</v>
      </c>
      <c r="AE169" s="16">
        <v>1.5</v>
      </c>
      <c r="AF169" s="100"/>
      <c r="AG169" s="100"/>
      <c r="AH169" s="120">
        <v>1</v>
      </c>
      <c r="AI169" s="57">
        <f t="shared" si="7"/>
        <v>24.5</v>
      </c>
      <c r="AJ169" s="101" t="s">
        <v>36</v>
      </c>
      <c r="AK169" s="102" t="s">
        <v>61</v>
      </c>
      <c r="AL169" s="19"/>
      <c r="AM169" s="19"/>
      <c r="AN169" s="19"/>
      <c r="AO169" s="19"/>
    </row>
    <row r="170" spans="1:41" ht="14.25" customHeight="1" x14ac:dyDescent="0.25">
      <c r="A170" s="54">
        <v>21</v>
      </c>
      <c r="B170" s="17" t="s">
        <v>158</v>
      </c>
      <c r="C170" s="99" t="str">
        <f>VLOOKUP(B170,[1]Worksheet!$B$6:$C$153,2,0)</f>
        <v>SSI120</v>
      </c>
      <c r="D170" s="17"/>
      <c r="E170" s="56">
        <v>1</v>
      </c>
      <c r="F170" s="16">
        <v>1</v>
      </c>
      <c r="G170" s="16">
        <v>1</v>
      </c>
      <c r="H170" s="16">
        <v>1</v>
      </c>
      <c r="I170" s="16">
        <v>1</v>
      </c>
      <c r="J170" s="16">
        <v>1</v>
      </c>
      <c r="K170" s="16">
        <v>1</v>
      </c>
      <c r="L170" s="56">
        <v>1</v>
      </c>
      <c r="M170" s="16">
        <v>1</v>
      </c>
      <c r="N170" s="16">
        <v>1</v>
      </c>
      <c r="O170" s="16"/>
      <c r="P170" s="16">
        <v>1</v>
      </c>
      <c r="Q170" s="16">
        <v>1</v>
      </c>
      <c r="R170" s="16">
        <v>1</v>
      </c>
      <c r="S170" s="16">
        <v>1</v>
      </c>
      <c r="T170" s="16">
        <v>1</v>
      </c>
      <c r="U170" s="16"/>
      <c r="V170" s="16"/>
      <c r="W170" s="16">
        <v>1</v>
      </c>
      <c r="X170" s="16"/>
      <c r="Y170" s="16"/>
      <c r="Z170" s="16"/>
      <c r="AA170" s="16"/>
      <c r="AB170" s="16"/>
      <c r="AC170" s="16"/>
      <c r="AD170" s="16"/>
      <c r="AE170" s="16"/>
      <c r="AF170" s="100"/>
      <c r="AG170" s="100"/>
      <c r="AH170" s="100"/>
      <c r="AI170" s="57">
        <f t="shared" si="7"/>
        <v>16</v>
      </c>
      <c r="AJ170" s="101" t="s">
        <v>70</v>
      </c>
      <c r="AK170" s="118" t="s">
        <v>71</v>
      </c>
      <c r="AL170" s="6"/>
      <c r="AM170" s="6"/>
      <c r="AN170" s="6"/>
      <c r="AO170" s="6"/>
    </row>
    <row r="171" spans="1:41" ht="14.25" customHeight="1" x14ac:dyDescent="0.25">
      <c r="A171" s="54">
        <v>23</v>
      </c>
      <c r="B171" s="17" t="s">
        <v>159</v>
      </c>
      <c r="C171" s="99" t="str">
        <f>VLOOKUP(B171,[1]Worksheet!$B$6:$C$153,2,0)</f>
        <v>SSI122</v>
      </c>
      <c r="D171" s="17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00"/>
      <c r="AG171" s="100"/>
      <c r="AH171" s="100"/>
      <c r="AI171" s="55">
        <f t="shared" si="7"/>
        <v>0</v>
      </c>
      <c r="AJ171" s="101" t="s">
        <v>72</v>
      </c>
      <c r="AK171" s="108" t="s">
        <v>65</v>
      </c>
      <c r="AL171" s="21"/>
      <c r="AM171" s="21"/>
      <c r="AN171" s="21"/>
      <c r="AO171" s="21"/>
    </row>
    <row r="172" spans="1:41" s="115" customFormat="1" ht="15.75" x14ac:dyDescent="0.25">
      <c r="A172" s="111">
        <v>24</v>
      </c>
      <c r="B172" s="132" t="s">
        <v>215</v>
      </c>
      <c r="C172" s="99" t="str">
        <f>VLOOKUP(B172,[1]Worksheet!$B$6:$C$153,2,0)</f>
        <v>SSI123</v>
      </c>
      <c r="D172" s="121"/>
      <c r="E172" s="16">
        <v>1</v>
      </c>
      <c r="F172" s="16">
        <v>1</v>
      </c>
      <c r="G172" s="122">
        <v>2</v>
      </c>
      <c r="H172" s="16"/>
      <c r="I172" s="16">
        <v>1</v>
      </c>
      <c r="J172" s="16">
        <v>1</v>
      </c>
      <c r="K172" s="16">
        <v>1</v>
      </c>
      <c r="L172" s="16">
        <v>1</v>
      </c>
      <c r="M172" s="16">
        <v>1</v>
      </c>
      <c r="N172" s="56">
        <v>2</v>
      </c>
      <c r="O172" s="16"/>
      <c r="P172" s="16">
        <v>1</v>
      </c>
      <c r="Q172" s="16">
        <v>1</v>
      </c>
      <c r="R172" s="16">
        <v>1</v>
      </c>
      <c r="S172" s="16">
        <v>1</v>
      </c>
      <c r="T172" s="16">
        <v>1</v>
      </c>
      <c r="U172" s="16">
        <v>2</v>
      </c>
      <c r="V172" s="16"/>
      <c r="W172" s="16">
        <v>1</v>
      </c>
      <c r="X172" s="16"/>
      <c r="Y172" s="16"/>
      <c r="Z172" s="16"/>
      <c r="AA172" s="16">
        <v>1</v>
      </c>
      <c r="AB172" s="56">
        <v>2</v>
      </c>
      <c r="AC172" s="16"/>
      <c r="AD172" s="16">
        <v>1</v>
      </c>
      <c r="AE172" s="16">
        <v>1</v>
      </c>
      <c r="AF172" s="100">
        <v>1</v>
      </c>
      <c r="AG172" s="103">
        <v>1.5</v>
      </c>
      <c r="AH172" s="100">
        <v>1</v>
      </c>
      <c r="AI172" s="57">
        <f t="shared" si="7"/>
        <v>27.5</v>
      </c>
      <c r="AJ172" s="113" t="s">
        <v>73</v>
      </c>
      <c r="AK172" s="114" t="s">
        <v>61</v>
      </c>
      <c r="AL172" s="89"/>
      <c r="AM172" s="89"/>
      <c r="AN172" s="89"/>
      <c r="AO172" s="89"/>
    </row>
    <row r="173" spans="1:41" s="115" customFormat="1" ht="15.75" x14ac:dyDescent="0.25">
      <c r="A173" s="111">
        <v>25</v>
      </c>
      <c r="B173" s="131" t="s">
        <v>216</v>
      </c>
      <c r="C173" s="99" t="str">
        <f>VLOOKUP(B173,[1]Worksheet!$B$6:$C$153,2,0)</f>
        <v>SSI124</v>
      </c>
      <c r="D173" s="121"/>
      <c r="E173" s="16">
        <v>1</v>
      </c>
      <c r="F173" s="16"/>
      <c r="G173" s="16"/>
      <c r="H173" s="16">
        <v>1</v>
      </c>
      <c r="I173" s="16">
        <v>1</v>
      </c>
      <c r="J173" s="16">
        <v>1</v>
      </c>
      <c r="K173" s="16">
        <v>1</v>
      </c>
      <c r="L173" s="16">
        <v>1</v>
      </c>
      <c r="M173" s="56">
        <v>2</v>
      </c>
      <c r="N173" s="16"/>
      <c r="O173" s="16">
        <v>1</v>
      </c>
      <c r="P173" s="16">
        <v>1</v>
      </c>
      <c r="Q173" s="16">
        <v>1</v>
      </c>
      <c r="R173" s="16">
        <v>1</v>
      </c>
      <c r="S173" s="16">
        <v>1</v>
      </c>
      <c r="T173" s="56">
        <v>2</v>
      </c>
      <c r="U173" s="16"/>
      <c r="V173" s="16">
        <v>1</v>
      </c>
      <c r="W173" s="16">
        <v>1</v>
      </c>
      <c r="X173" s="56">
        <v>2</v>
      </c>
      <c r="Y173" s="16">
        <v>1</v>
      </c>
      <c r="Z173" s="56">
        <v>1.5</v>
      </c>
      <c r="AA173" s="16">
        <v>1</v>
      </c>
      <c r="AB173" s="16"/>
      <c r="AC173" s="16">
        <v>1</v>
      </c>
      <c r="AD173" s="16">
        <v>1</v>
      </c>
      <c r="AE173" s="16">
        <v>1</v>
      </c>
      <c r="AF173" s="100">
        <v>1</v>
      </c>
      <c r="AG173" s="100">
        <v>1</v>
      </c>
      <c r="AH173" s="100"/>
      <c r="AI173" s="57">
        <f t="shared" si="7"/>
        <v>27.5</v>
      </c>
      <c r="AJ173" s="113" t="s">
        <v>36</v>
      </c>
      <c r="AK173" s="114" t="s">
        <v>61</v>
      </c>
      <c r="AL173" s="89"/>
      <c r="AM173" s="89" t="s">
        <v>74</v>
      </c>
      <c r="AN173" s="89"/>
      <c r="AO173" s="89"/>
    </row>
    <row r="174" spans="1:41" ht="14.25" customHeight="1" x14ac:dyDescent="0.25">
      <c r="A174" s="54">
        <v>26</v>
      </c>
      <c r="B174" s="110" t="s">
        <v>160</v>
      </c>
      <c r="C174" s="99" t="str">
        <f>VLOOKUP(B174,[1]Worksheet!$B$6:$C$153,2,0)</f>
        <v>SSI125</v>
      </c>
      <c r="D174" s="110"/>
      <c r="E174" s="16">
        <v>1</v>
      </c>
      <c r="F174" s="16">
        <v>1</v>
      </c>
      <c r="G174" s="86">
        <v>1</v>
      </c>
      <c r="H174" s="16">
        <v>1</v>
      </c>
      <c r="I174" s="56">
        <v>2</v>
      </c>
      <c r="J174" s="56">
        <v>1</v>
      </c>
      <c r="K174" s="16">
        <v>1</v>
      </c>
      <c r="L174" s="16">
        <v>1</v>
      </c>
      <c r="M174" s="16">
        <v>1</v>
      </c>
      <c r="N174" s="16">
        <v>1</v>
      </c>
      <c r="O174" s="16">
        <v>1</v>
      </c>
      <c r="P174" s="16">
        <v>1</v>
      </c>
      <c r="Q174" s="56">
        <v>1</v>
      </c>
      <c r="R174" s="16">
        <v>1</v>
      </c>
      <c r="S174" s="16">
        <v>1</v>
      </c>
      <c r="T174" s="16">
        <v>1</v>
      </c>
      <c r="U174" s="16">
        <v>1</v>
      </c>
      <c r="V174" s="16">
        <v>1</v>
      </c>
      <c r="W174" s="16">
        <v>1</v>
      </c>
      <c r="X174" s="56">
        <v>1</v>
      </c>
      <c r="Y174" s="16">
        <v>1</v>
      </c>
      <c r="Z174" s="16">
        <v>1</v>
      </c>
      <c r="AA174" s="16">
        <v>1</v>
      </c>
      <c r="AB174" s="16">
        <v>1</v>
      </c>
      <c r="AC174" s="16">
        <v>1</v>
      </c>
      <c r="AD174" s="16">
        <v>1</v>
      </c>
      <c r="AE174" s="56">
        <v>1</v>
      </c>
      <c r="AF174" s="100">
        <v>1</v>
      </c>
      <c r="AG174" s="100">
        <v>1</v>
      </c>
      <c r="AH174" s="100">
        <v>1</v>
      </c>
      <c r="AI174" s="57">
        <f t="shared" si="7"/>
        <v>31</v>
      </c>
      <c r="AJ174" s="101" t="s">
        <v>64</v>
      </c>
      <c r="AK174" s="118" t="s">
        <v>71</v>
      </c>
      <c r="AL174" s="6"/>
      <c r="AM174" s="6"/>
      <c r="AN174" s="6"/>
      <c r="AO174" s="6"/>
    </row>
    <row r="175" spans="1:41" ht="14.25" customHeight="1" x14ac:dyDescent="0.25">
      <c r="A175" s="54">
        <v>28</v>
      </c>
      <c r="B175" s="17" t="s">
        <v>161</v>
      </c>
      <c r="C175" s="99" t="str">
        <f>VLOOKUP(B175,[1]Worksheet!$B$6:$C$153,2,0)</f>
        <v>SSI127</v>
      </c>
      <c r="D175" s="17"/>
      <c r="E175" s="16">
        <v>1</v>
      </c>
      <c r="F175" s="16"/>
      <c r="G175" s="16">
        <v>1</v>
      </c>
      <c r="H175" s="16">
        <v>1</v>
      </c>
      <c r="I175" s="16">
        <v>1</v>
      </c>
      <c r="J175" s="16">
        <v>1</v>
      </c>
      <c r="K175" s="16">
        <v>1</v>
      </c>
      <c r="L175" s="16">
        <v>1</v>
      </c>
      <c r="M175" s="16">
        <v>1</v>
      </c>
      <c r="N175" s="56">
        <v>2</v>
      </c>
      <c r="O175" s="16">
        <v>1</v>
      </c>
      <c r="P175" s="56">
        <v>2</v>
      </c>
      <c r="Q175" s="16">
        <v>1</v>
      </c>
      <c r="R175" s="16">
        <v>1</v>
      </c>
      <c r="S175" s="16">
        <v>1</v>
      </c>
      <c r="T175" s="56">
        <v>2</v>
      </c>
      <c r="U175" s="16">
        <v>1</v>
      </c>
      <c r="V175" s="16">
        <v>1</v>
      </c>
      <c r="W175" s="16">
        <v>1</v>
      </c>
      <c r="X175" s="16">
        <v>1</v>
      </c>
      <c r="Y175" s="16"/>
      <c r="Z175" s="16">
        <v>1</v>
      </c>
      <c r="AA175" s="16">
        <v>1</v>
      </c>
      <c r="AB175" s="16">
        <v>1</v>
      </c>
      <c r="AC175" s="16">
        <v>1</v>
      </c>
      <c r="AD175" s="16">
        <v>1</v>
      </c>
      <c r="AE175" s="16">
        <v>1</v>
      </c>
      <c r="AF175" s="103">
        <v>1</v>
      </c>
      <c r="AG175" s="100">
        <v>1</v>
      </c>
      <c r="AH175" s="100">
        <v>1</v>
      </c>
      <c r="AI175" s="57">
        <f t="shared" si="7"/>
        <v>31</v>
      </c>
      <c r="AJ175" s="101" t="s">
        <v>67</v>
      </c>
      <c r="AK175" s="108" t="s">
        <v>65</v>
      </c>
      <c r="AL175" s="21"/>
      <c r="AM175" s="21"/>
      <c r="AN175" s="21"/>
      <c r="AO175" s="21"/>
    </row>
    <row r="176" spans="1:41" ht="14.25" customHeight="1" x14ac:dyDescent="0.25">
      <c r="A176" s="54">
        <v>29</v>
      </c>
      <c r="B176" s="17" t="s">
        <v>162</v>
      </c>
      <c r="C176" s="99" t="str">
        <f>VLOOKUP(B176,[1]Worksheet!$B$6:$C$153,2,0)</f>
        <v>SSI128</v>
      </c>
      <c r="D176" s="17"/>
      <c r="E176" s="16">
        <v>1</v>
      </c>
      <c r="F176" s="16"/>
      <c r="G176" s="16">
        <v>1</v>
      </c>
      <c r="H176" s="16">
        <v>1</v>
      </c>
      <c r="I176" s="16">
        <v>1</v>
      </c>
      <c r="J176" s="16">
        <v>1</v>
      </c>
      <c r="K176" s="16">
        <v>1</v>
      </c>
      <c r="L176" s="16">
        <v>1</v>
      </c>
      <c r="M176" s="16"/>
      <c r="N176" s="16">
        <v>1</v>
      </c>
      <c r="O176" s="16">
        <v>1</v>
      </c>
      <c r="P176" s="16">
        <v>1</v>
      </c>
      <c r="Q176" s="16">
        <v>1</v>
      </c>
      <c r="R176" s="16">
        <v>1</v>
      </c>
      <c r="S176" s="16">
        <v>1</v>
      </c>
      <c r="T176" s="16"/>
      <c r="U176" s="16">
        <v>1</v>
      </c>
      <c r="V176" s="16"/>
      <c r="W176" s="16">
        <v>1</v>
      </c>
      <c r="X176" s="16">
        <v>1</v>
      </c>
      <c r="Y176" s="16">
        <v>1</v>
      </c>
      <c r="Z176" s="16">
        <v>1</v>
      </c>
      <c r="AA176" s="56">
        <v>1</v>
      </c>
      <c r="AB176" s="16">
        <v>1</v>
      </c>
      <c r="AC176" s="16">
        <v>1</v>
      </c>
      <c r="AD176" s="16">
        <v>1</v>
      </c>
      <c r="AE176" s="16">
        <v>1</v>
      </c>
      <c r="AF176" s="100">
        <v>1</v>
      </c>
      <c r="AG176" s="100">
        <v>1</v>
      </c>
      <c r="AH176" s="103">
        <v>1</v>
      </c>
      <c r="AI176" s="57">
        <f t="shared" si="7"/>
        <v>26</v>
      </c>
      <c r="AJ176" s="123" t="s">
        <v>60</v>
      </c>
      <c r="AK176" s="108" t="s">
        <v>65</v>
      </c>
      <c r="AL176" s="21"/>
      <c r="AM176" s="21"/>
      <c r="AN176" s="21"/>
      <c r="AO176" s="21"/>
    </row>
    <row r="177" spans="1:41" ht="15.75" customHeight="1" x14ac:dyDescent="0.25">
      <c r="A177" s="54">
        <v>30</v>
      </c>
      <c r="B177" s="17" t="s">
        <v>185</v>
      </c>
      <c r="C177" s="99" t="str">
        <f>VLOOKUP(B177,[1]Worksheet!$B$6:$C$153,2,0)</f>
        <v>SSI129</v>
      </c>
      <c r="D177" s="17"/>
      <c r="E177" s="16">
        <v>1</v>
      </c>
      <c r="F177" s="16">
        <v>1</v>
      </c>
      <c r="G177" s="16"/>
      <c r="H177" s="16">
        <v>1</v>
      </c>
      <c r="I177" s="56">
        <v>2</v>
      </c>
      <c r="J177" s="16">
        <v>1</v>
      </c>
      <c r="K177" s="16">
        <v>1</v>
      </c>
      <c r="L177" s="16">
        <v>1</v>
      </c>
      <c r="M177" s="16">
        <v>1</v>
      </c>
      <c r="N177" s="16"/>
      <c r="O177" s="16">
        <v>1</v>
      </c>
      <c r="P177" s="56">
        <v>2</v>
      </c>
      <c r="Q177" s="16">
        <v>1</v>
      </c>
      <c r="R177" s="16">
        <v>1</v>
      </c>
      <c r="S177" s="16">
        <v>1</v>
      </c>
      <c r="T177" s="16">
        <v>1</v>
      </c>
      <c r="U177" s="16"/>
      <c r="V177" s="16">
        <v>1</v>
      </c>
      <c r="W177" s="56">
        <v>2</v>
      </c>
      <c r="X177" s="16">
        <v>1</v>
      </c>
      <c r="Y177" s="21">
        <v>1</v>
      </c>
      <c r="Z177" s="16">
        <v>1</v>
      </c>
      <c r="AA177" s="56">
        <v>2</v>
      </c>
      <c r="AB177" s="16"/>
      <c r="AC177" s="16">
        <v>1</v>
      </c>
      <c r="AD177" s="93">
        <v>2</v>
      </c>
      <c r="AE177" s="16">
        <v>1</v>
      </c>
      <c r="AF177" s="100">
        <v>1</v>
      </c>
      <c r="AG177" s="100">
        <v>1</v>
      </c>
      <c r="AH177" s="100">
        <v>1</v>
      </c>
      <c r="AI177" s="57">
        <f t="shared" si="7"/>
        <v>31</v>
      </c>
      <c r="AJ177" s="101" t="s">
        <v>66</v>
      </c>
      <c r="AK177" s="118" t="s">
        <v>71</v>
      </c>
      <c r="AL177" s="6"/>
      <c r="AM177" s="6"/>
      <c r="AN177" s="6"/>
      <c r="AO177" s="6"/>
    </row>
    <row r="178" spans="1:41" ht="15" customHeight="1" x14ac:dyDescent="0.25">
      <c r="A178" s="54">
        <v>32</v>
      </c>
      <c r="B178" s="17" t="s">
        <v>186</v>
      </c>
      <c r="C178" s="99" t="str">
        <f>VLOOKUP(B178,[1]Worksheet!$B$6:$C$153,2,0)</f>
        <v>SSI130</v>
      </c>
      <c r="D178" s="17"/>
      <c r="E178" s="56">
        <v>1</v>
      </c>
      <c r="F178" s="16">
        <v>1</v>
      </c>
      <c r="G178" s="16"/>
      <c r="H178" s="16">
        <v>1</v>
      </c>
      <c r="I178" s="16">
        <v>1</v>
      </c>
      <c r="J178" s="16">
        <v>1</v>
      </c>
      <c r="K178" s="16"/>
      <c r="L178" s="56">
        <v>1</v>
      </c>
      <c r="M178" s="16">
        <v>1</v>
      </c>
      <c r="N178" s="56">
        <v>1.5</v>
      </c>
      <c r="O178" s="56">
        <v>1.5</v>
      </c>
      <c r="P178" s="56">
        <v>1.5</v>
      </c>
      <c r="Q178" s="56">
        <v>2</v>
      </c>
      <c r="R178" s="16">
        <v>1</v>
      </c>
      <c r="S178" s="56">
        <v>1</v>
      </c>
      <c r="T178" s="16">
        <v>1</v>
      </c>
      <c r="U178" s="16">
        <v>1</v>
      </c>
      <c r="V178" s="16">
        <v>1</v>
      </c>
      <c r="W178" s="16">
        <v>1</v>
      </c>
      <c r="X178" s="16">
        <v>1</v>
      </c>
      <c r="Y178" s="16">
        <v>1</v>
      </c>
      <c r="Z178" s="16">
        <v>1</v>
      </c>
      <c r="AA178" s="16">
        <v>1</v>
      </c>
      <c r="AB178" s="16">
        <v>1</v>
      </c>
      <c r="AC178" s="16">
        <v>1</v>
      </c>
      <c r="AD178" s="16">
        <v>1</v>
      </c>
      <c r="AE178" s="16">
        <v>1</v>
      </c>
      <c r="AF178" s="100">
        <v>1</v>
      </c>
      <c r="AG178" s="103">
        <v>1</v>
      </c>
      <c r="AH178" s="100">
        <v>1</v>
      </c>
      <c r="AI178" s="57">
        <f t="shared" si="7"/>
        <v>30.5</v>
      </c>
      <c r="AJ178" s="101" t="s">
        <v>70</v>
      </c>
      <c r="AK178" s="108" t="s">
        <v>63</v>
      </c>
      <c r="AL178" s="21"/>
      <c r="AM178" s="21"/>
      <c r="AN178" s="21"/>
      <c r="AO178" s="21"/>
    </row>
    <row r="179" spans="1:41" ht="15.75" customHeight="1" x14ac:dyDescent="0.25">
      <c r="A179" s="54">
        <v>33</v>
      </c>
      <c r="B179" s="3" t="s">
        <v>187</v>
      </c>
      <c r="C179" s="99" t="str">
        <f>VLOOKUP(B179,[1]Worksheet!$B$6:$C$153,2,0)</f>
        <v>SSI131</v>
      </c>
      <c r="E179" s="16">
        <v>1</v>
      </c>
      <c r="F179" s="16">
        <v>1</v>
      </c>
      <c r="G179" s="16">
        <v>1</v>
      </c>
      <c r="H179" s="16">
        <v>1</v>
      </c>
      <c r="I179" s="56">
        <v>1</v>
      </c>
      <c r="J179" s="16">
        <v>1</v>
      </c>
      <c r="K179" s="16">
        <v>1</v>
      </c>
      <c r="L179" s="16">
        <v>1</v>
      </c>
      <c r="M179" s="16">
        <v>1</v>
      </c>
      <c r="N179" s="16">
        <v>1</v>
      </c>
      <c r="O179" s="16">
        <v>1</v>
      </c>
      <c r="P179" s="56">
        <v>1</v>
      </c>
      <c r="Q179" s="16">
        <v>1</v>
      </c>
      <c r="R179" s="16">
        <v>1</v>
      </c>
      <c r="S179" s="16">
        <v>1</v>
      </c>
      <c r="T179" s="16">
        <v>1</v>
      </c>
      <c r="U179" s="16">
        <v>1</v>
      </c>
      <c r="V179" s="16">
        <v>1</v>
      </c>
      <c r="W179" s="56">
        <v>1</v>
      </c>
      <c r="X179" s="16">
        <v>1</v>
      </c>
      <c r="Y179" s="16">
        <v>1</v>
      </c>
      <c r="Z179" s="16">
        <v>1</v>
      </c>
      <c r="AA179" s="56">
        <v>2</v>
      </c>
      <c r="AB179" s="16">
        <v>1</v>
      </c>
      <c r="AC179" s="16">
        <v>1</v>
      </c>
      <c r="AD179" s="16">
        <v>1</v>
      </c>
      <c r="AE179" s="16">
        <v>1</v>
      </c>
      <c r="AF179" s="100">
        <v>1</v>
      </c>
      <c r="AG179" s="100">
        <v>1</v>
      </c>
      <c r="AH179" s="100">
        <v>1</v>
      </c>
      <c r="AI179" s="57">
        <f t="shared" si="7"/>
        <v>31</v>
      </c>
      <c r="AJ179" s="113" t="s">
        <v>23</v>
      </c>
      <c r="AK179" s="108" t="s">
        <v>63</v>
      </c>
      <c r="AL179" s="21"/>
      <c r="AM179" s="21"/>
      <c r="AN179" s="21"/>
      <c r="AO179" s="21"/>
    </row>
    <row r="180" spans="1:41" ht="15.75" customHeight="1" x14ac:dyDescent="0.25">
      <c r="A180" s="54">
        <v>35</v>
      </c>
      <c r="B180" s="131" t="s">
        <v>188</v>
      </c>
      <c r="C180" s="99" t="str">
        <f>VLOOKUP(B180,[1]Worksheet!$B$6:$C$153,2,0)</f>
        <v>SSI132</v>
      </c>
      <c r="D180" s="17"/>
      <c r="E180" s="16">
        <v>1</v>
      </c>
      <c r="F180" s="16">
        <v>1</v>
      </c>
      <c r="G180" s="16">
        <v>1</v>
      </c>
      <c r="H180" s="16">
        <v>1</v>
      </c>
      <c r="I180" s="16"/>
      <c r="J180" s="16">
        <v>1</v>
      </c>
      <c r="K180" s="56">
        <v>2</v>
      </c>
      <c r="L180" s="16">
        <v>1</v>
      </c>
      <c r="M180" s="16">
        <v>1</v>
      </c>
      <c r="N180" s="16">
        <v>1</v>
      </c>
      <c r="O180" s="16">
        <v>1</v>
      </c>
      <c r="P180" s="16"/>
      <c r="Q180" s="16">
        <v>1</v>
      </c>
      <c r="R180" s="56">
        <v>2</v>
      </c>
      <c r="S180" s="16">
        <v>1</v>
      </c>
      <c r="T180" s="16">
        <v>1</v>
      </c>
      <c r="U180" s="16">
        <v>1</v>
      </c>
      <c r="V180" s="16">
        <v>1</v>
      </c>
      <c r="W180" s="16"/>
      <c r="X180" s="16">
        <v>1</v>
      </c>
      <c r="Y180" s="56">
        <v>2</v>
      </c>
      <c r="Z180" s="16">
        <v>1</v>
      </c>
      <c r="AA180" s="16">
        <v>1</v>
      </c>
      <c r="AB180" s="16">
        <v>1</v>
      </c>
      <c r="AC180" s="16">
        <v>1</v>
      </c>
      <c r="AD180" s="16"/>
      <c r="AE180" s="16">
        <v>1</v>
      </c>
      <c r="AF180" s="100">
        <v>2</v>
      </c>
      <c r="AG180" s="100">
        <v>1</v>
      </c>
      <c r="AH180" s="103">
        <v>2</v>
      </c>
      <c r="AI180" s="57">
        <f t="shared" si="7"/>
        <v>31</v>
      </c>
      <c r="AJ180" s="101" t="s">
        <v>23</v>
      </c>
      <c r="AK180" s="118" t="s">
        <v>71</v>
      </c>
      <c r="AL180" s="6"/>
      <c r="AM180" s="6"/>
      <c r="AN180" s="6"/>
      <c r="AO180" s="6"/>
    </row>
    <row r="181" spans="1:41" s="115" customFormat="1" ht="15.75" customHeight="1" x14ac:dyDescent="0.25">
      <c r="A181" s="111">
        <v>36</v>
      </c>
      <c r="B181" s="121" t="s">
        <v>189</v>
      </c>
      <c r="C181" s="99" t="str">
        <f>VLOOKUP(B181,[1]Worksheet!$B$6:$C$153,2,0)</f>
        <v>SSI133</v>
      </c>
      <c r="D181" s="121"/>
      <c r="E181" s="56">
        <v>2</v>
      </c>
      <c r="F181" s="56">
        <v>2</v>
      </c>
      <c r="G181" s="56">
        <v>1.5</v>
      </c>
      <c r="H181" s="16">
        <v>1</v>
      </c>
      <c r="I181" s="16"/>
      <c r="J181" s="16">
        <v>1</v>
      </c>
      <c r="K181" s="56">
        <v>2</v>
      </c>
      <c r="L181" s="16">
        <v>1</v>
      </c>
      <c r="M181" s="16">
        <v>1</v>
      </c>
      <c r="N181" s="16">
        <v>1</v>
      </c>
      <c r="O181" s="16">
        <v>1</v>
      </c>
      <c r="P181" s="16"/>
      <c r="Q181" s="6">
        <v>1</v>
      </c>
      <c r="R181" s="56">
        <v>2</v>
      </c>
      <c r="S181" s="16">
        <v>1</v>
      </c>
      <c r="T181" s="16">
        <v>1</v>
      </c>
      <c r="U181" s="16">
        <v>1</v>
      </c>
      <c r="V181" s="56">
        <v>1.5</v>
      </c>
      <c r="W181" s="56">
        <v>1</v>
      </c>
      <c r="X181" s="16">
        <v>1</v>
      </c>
      <c r="Y181" s="56">
        <v>2</v>
      </c>
      <c r="Z181" s="56">
        <v>2</v>
      </c>
      <c r="AA181" s="56">
        <v>2</v>
      </c>
      <c r="AB181" s="16">
        <v>1</v>
      </c>
      <c r="AC181" s="16">
        <v>1</v>
      </c>
      <c r="AD181" s="16"/>
      <c r="AE181" s="16">
        <v>1</v>
      </c>
      <c r="AF181" s="103">
        <v>2</v>
      </c>
      <c r="AG181" s="100">
        <v>1</v>
      </c>
      <c r="AH181" s="100">
        <v>1</v>
      </c>
      <c r="AI181" s="57">
        <f t="shared" si="7"/>
        <v>36</v>
      </c>
      <c r="AJ181" s="113" t="s">
        <v>23</v>
      </c>
      <c r="AK181" s="114" t="s">
        <v>61</v>
      </c>
      <c r="AL181" s="89"/>
      <c r="AM181" s="89"/>
      <c r="AN181" s="89"/>
      <c r="AO181" s="89"/>
    </row>
    <row r="182" spans="1:41" ht="15.75" customHeight="1" x14ac:dyDescent="0.25">
      <c r="A182" s="54">
        <v>40</v>
      </c>
      <c r="B182" s="17" t="s">
        <v>217</v>
      </c>
      <c r="C182" s="99" t="e">
        <f>VLOOKUP(B182,[1]Worksheet!$B$6:$C$153,2,0)</f>
        <v>#N/A</v>
      </c>
      <c r="D182" s="17" t="s">
        <v>222</v>
      </c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00"/>
      <c r="AG182" s="100"/>
      <c r="AH182" s="100"/>
      <c r="AI182" s="55">
        <f t="shared" si="7"/>
        <v>0</v>
      </c>
      <c r="AJ182" s="124" t="s">
        <v>67</v>
      </c>
      <c r="AK182" s="19" t="s">
        <v>61</v>
      </c>
      <c r="AL182" s="19"/>
      <c r="AM182" s="19"/>
      <c r="AN182" s="19"/>
      <c r="AO182" s="19"/>
    </row>
    <row r="183" spans="1:41" ht="17.25" customHeight="1" x14ac:dyDescent="0.25">
      <c r="A183" s="54">
        <v>41</v>
      </c>
      <c r="B183" s="17" t="s">
        <v>190</v>
      </c>
      <c r="C183" s="99" t="str">
        <f>VLOOKUP(B183,[1]Worksheet!$B$6:$C$153,2,0)</f>
        <v>SSI135</v>
      </c>
      <c r="D183" s="17"/>
      <c r="E183" s="16">
        <v>1</v>
      </c>
      <c r="F183" s="16"/>
      <c r="G183" s="16">
        <v>1</v>
      </c>
      <c r="H183" s="16">
        <v>1</v>
      </c>
      <c r="I183" s="16">
        <v>1</v>
      </c>
      <c r="J183" s="16">
        <v>1</v>
      </c>
      <c r="K183" s="16">
        <v>1</v>
      </c>
      <c r="L183" s="16">
        <v>1</v>
      </c>
      <c r="M183" s="16"/>
      <c r="N183" s="16">
        <v>1</v>
      </c>
      <c r="O183" s="16">
        <v>2</v>
      </c>
      <c r="P183" s="16">
        <v>1</v>
      </c>
      <c r="Q183" s="56">
        <v>1.5</v>
      </c>
      <c r="R183" s="56">
        <v>1.5</v>
      </c>
      <c r="S183" s="16"/>
      <c r="T183" s="56">
        <v>1</v>
      </c>
      <c r="U183" s="16">
        <v>1</v>
      </c>
      <c r="V183" s="16">
        <v>1</v>
      </c>
      <c r="W183" s="16">
        <v>1</v>
      </c>
      <c r="X183" s="16">
        <v>1</v>
      </c>
      <c r="Y183" s="16">
        <v>1</v>
      </c>
      <c r="Z183" s="16">
        <v>1</v>
      </c>
      <c r="AA183" s="56">
        <v>1</v>
      </c>
      <c r="AB183" s="16">
        <v>1</v>
      </c>
      <c r="AC183" s="16">
        <v>1</v>
      </c>
      <c r="AD183" s="16">
        <v>1</v>
      </c>
      <c r="AE183" s="16">
        <v>1</v>
      </c>
      <c r="AF183" s="100">
        <v>1</v>
      </c>
      <c r="AG183" s="100"/>
      <c r="AH183" s="103">
        <v>1</v>
      </c>
      <c r="AI183" s="57">
        <f t="shared" si="7"/>
        <v>28</v>
      </c>
      <c r="AJ183" s="124" t="s">
        <v>60</v>
      </c>
      <c r="AK183" s="19" t="s">
        <v>63</v>
      </c>
      <c r="AL183" s="19"/>
      <c r="AM183" s="19"/>
      <c r="AN183" s="19"/>
      <c r="AO183" s="19"/>
    </row>
    <row r="184" spans="1:41" ht="15.75" customHeight="1" x14ac:dyDescent="0.25">
      <c r="A184" s="54">
        <v>42</v>
      </c>
      <c r="B184" s="17" t="s">
        <v>115</v>
      </c>
      <c r="C184" s="99" t="str">
        <f>VLOOKUP(B184,[1]Worksheet!$B$6:$C$153,2,0)</f>
        <v>SSI062</v>
      </c>
      <c r="D184" s="17" t="s">
        <v>222</v>
      </c>
      <c r="E184" s="16"/>
      <c r="F184" s="16"/>
      <c r="G184" s="16"/>
      <c r="H184" s="16">
        <v>1</v>
      </c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00"/>
      <c r="AG184" s="100"/>
      <c r="AH184" s="100"/>
      <c r="AI184" s="55">
        <f t="shared" si="7"/>
        <v>1</v>
      </c>
      <c r="AJ184" s="124" t="s">
        <v>66</v>
      </c>
      <c r="AK184" s="19" t="s">
        <v>61</v>
      </c>
      <c r="AL184" s="19"/>
      <c r="AM184" s="19"/>
      <c r="AN184" s="19"/>
      <c r="AO184" s="19"/>
    </row>
    <row r="185" spans="1:41" ht="15.75" customHeight="1" x14ac:dyDescent="0.25">
      <c r="A185" s="54">
        <v>43</v>
      </c>
      <c r="B185" s="17" t="s">
        <v>191</v>
      </c>
      <c r="C185" s="99" t="str">
        <f>VLOOKUP(B185,[1]Worksheet!$B$6:$C$153,2,0)</f>
        <v>SSI137</v>
      </c>
      <c r="D185" s="17"/>
      <c r="E185" s="16">
        <v>1</v>
      </c>
      <c r="F185" s="16"/>
      <c r="G185" s="16">
        <v>1</v>
      </c>
      <c r="H185" s="16">
        <v>1</v>
      </c>
      <c r="I185" s="16">
        <v>1</v>
      </c>
      <c r="J185" s="16">
        <v>1</v>
      </c>
      <c r="K185" s="16">
        <v>1</v>
      </c>
      <c r="L185" s="16">
        <v>1</v>
      </c>
      <c r="M185" s="16"/>
      <c r="N185" s="16">
        <v>1</v>
      </c>
      <c r="O185" s="16"/>
      <c r="P185" s="16">
        <v>1</v>
      </c>
      <c r="Q185" s="16">
        <v>1</v>
      </c>
      <c r="R185" s="16">
        <v>1</v>
      </c>
      <c r="S185" s="16">
        <v>1</v>
      </c>
      <c r="T185" s="16"/>
      <c r="U185" s="16">
        <v>1</v>
      </c>
      <c r="V185" s="16">
        <v>1</v>
      </c>
      <c r="W185" s="16">
        <v>1</v>
      </c>
      <c r="X185" s="16">
        <v>1</v>
      </c>
      <c r="Y185" s="16">
        <v>1</v>
      </c>
      <c r="Z185" s="16">
        <v>1</v>
      </c>
      <c r="AA185" s="16"/>
      <c r="AB185" s="16">
        <v>1</v>
      </c>
      <c r="AC185" s="16">
        <v>1</v>
      </c>
      <c r="AD185" s="16">
        <v>1</v>
      </c>
      <c r="AE185" s="16">
        <v>1</v>
      </c>
      <c r="AF185" s="100">
        <v>1</v>
      </c>
      <c r="AG185" s="100">
        <v>1</v>
      </c>
      <c r="AH185" s="120">
        <v>1</v>
      </c>
      <c r="AI185" s="57">
        <f t="shared" si="7"/>
        <v>25</v>
      </c>
      <c r="AJ185" s="124" t="s">
        <v>60</v>
      </c>
      <c r="AK185" s="19" t="s">
        <v>61</v>
      </c>
      <c r="AL185" s="19"/>
      <c r="AM185" s="19"/>
      <c r="AN185" s="19"/>
      <c r="AO185" s="19"/>
    </row>
    <row r="186" spans="1:41" ht="15.75" customHeight="1" x14ac:dyDescent="0.25">
      <c r="A186" s="54">
        <v>44</v>
      </c>
      <c r="B186" s="17" t="s">
        <v>163</v>
      </c>
      <c r="C186" s="99" t="str">
        <f>VLOOKUP(B186,[1]Worksheet!$B$6:$C$153,2,0)</f>
        <v>SSI138</v>
      </c>
      <c r="D186" s="17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00"/>
      <c r="AG186" s="100"/>
      <c r="AH186" s="100"/>
      <c r="AI186" s="55">
        <f t="shared" si="7"/>
        <v>0</v>
      </c>
      <c r="AJ186" s="124" t="s">
        <v>64</v>
      </c>
      <c r="AK186" s="108" t="s">
        <v>63</v>
      </c>
      <c r="AL186" s="21"/>
      <c r="AM186" s="21"/>
      <c r="AN186" s="21"/>
      <c r="AO186" s="21"/>
    </row>
    <row r="187" spans="1:41" ht="14.25" customHeight="1" x14ac:dyDescent="0.25">
      <c r="A187" s="54">
        <v>45</v>
      </c>
      <c r="B187" s="17" t="s">
        <v>164</v>
      </c>
      <c r="C187" s="99" t="str">
        <f>VLOOKUP(B187,[1]Worksheet!$B$6:$C$153,2,0)</f>
        <v>SSI139</v>
      </c>
      <c r="D187" s="17"/>
      <c r="E187" s="16">
        <v>1</v>
      </c>
      <c r="F187" s="16">
        <v>1</v>
      </c>
      <c r="G187" s="16">
        <v>1</v>
      </c>
      <c r="H187" s="16"/>
      <c r="I187" s="16"/>
      <c r="J187" s="16"/>
      <c r="K187" s="16">
        <v>1</v>
      </c>
      <c r="L187" s="16">
        <v>1</v>
      </c>
      <c r="M187" s="16">
        <v>1</v>
      </c>
      <c r="N187" s="16">
        <v>1</v>
      </c>
      <c r="O187" s="16">
        <v>1</v>
      </c>
      <c r="P187" s="16"/>
      <c r="Q187" s="16"/>
      <c r="R187" s="16">
        <v>1</v>
      </c>
      <c r="S187" s="16">
        <v>1</v>
      </c>
      <c r="T187" s="16">
        <v>1</v>
      </c>
      <c r="U187" s="16">
        <v>1</v>
      </c>
      <c r="V187" s="16">
        <v>1</v>
      </c>
      <c r="W187" s="16"/>
      <c r="X187" s="16">
        <v>1</v>
      </c>
      <c r="Y187" s="16">
        <v>1</v>
      </c>
      <c r="Z187" s="16">
        <v>1</v>
      </c>
      <c r="AA187" s="16">
        <v>1</v>
      </c>
      <c r="AB187" s="16">
        <v>1</v>
      </c>
      <c r="AC187" s="16">
        <v>1</v>
      </c>
      <c r="AD187" s="16"/>
      <c r="AE187" s="16">
        <v>1</v>
      </c>
      <c r="AF187" s="100">
        <v>1</v>
      </c>
      <c r="AG187" s="100">
        <v>1</v>
      </c>
      <c r="AH187" s="100">
        <v>1</v>
      </c>
      <c r="AI187" s="57">
        <f t="shared" si="7"/>
        <v>23</v>
      </c>
      <c r="AJ187" s="124" t="s">
        <v>23</v>
      </c>
      <c r="AK187" s="19" t="s">
        <v>63</v>
      </c>
      <c r="AL187" s="19"/>
      <c r="AM187" s="19"/>
      <c r="AN187" s="19"/>
      <c r="AO187" s="19"/>
    </row>
    <row r="188" spans="1:41" ht="15.75" x14ac:dyDescent="0.25">
      <c r="A188" s="54">
        <v>46</v>
      </c>
      <c r="B188" s="131" t="s">
        <v>218</v>
      </c>
      <c r="C188" s="99" t="str">
        <f>VLOOKUP(B188,[1]Worksheet!$B$6:$C$153,2,0)</f>
        <v>SSI140</v>
      </c>
      <c r="D188" s="17"/>
      <c r="E188" s="16">
        <v>1</v>
      </c>
      <c r="F188" s="16">
        <v>1</v>
      </c>
      <c r="G188" s="16">
        <v>2</v>
      </c>
      <c r="H188" s="16">
        <v>1</v>
      </c>
      <c r="I188" s="16">
        <v>1</v>
      </c>
      <c r="J188" s="16">
        <v>1</v>
      </c>
      <c r="K188" s="16"/>
      <c r="L188" s="16"/>
      <c r="M188" s="16">
        <v>1</v>
      </c>
      <c r="N188" s="56">
        <v>2</v>
      </c>
      <c r="O188" s="16">
        <v>1</v>
      </c>
      <c r="P188" s="16">
        <v>1</v>
      </c>
      <c r="Q188" s="56">
        <v>1.5</v>
      </c>
      <c r="R188" s="16">
        <v>1</v>
      </c>
      <c r="S188" s="56">
        <v>1.5</v>
      </c>
      <c r="T188" s="56">
        <v>1.5</v>
      </c>
      <c r="U188" s="56">
        <v>2</v>
      </c>
      <c r="V188" s="16">
        <v>1</v>
      </c>
      <c r="W188" s="16">
        <v>1</v>
      </c>
      <c r="X188" s="16">
        <v>1</v>
      </c>
      <c r="Y188" s="19"/>
      <c r="Z188" s="16">
        <v>1</v>
      </c>
      <c r="AA188" s="16">
        <v>1</v>
      </c>
      <c r="AB188" s="21">
        <v>2</v>
      </c>
      <c r="AC188" s="21">
        <v>1</v>
      </c>
      <c r="AD188" s="21">
        <v>1</v>
      </c>
      <c r="AE188" s="16"/>
      <c r="AF188" s="125">
        <v>2</v>
      </c>
      <c r="AG188" s="29">
        <v>1</v>
      </c>
      <c r="AH188" s="126">
        <v>1</v>
      </c>
      <c r="AI188" s="57">
        <f t="shared" si="7"/>
        <v>32.5</v>
      </c>
      <c r="AJ188" s="124" t="s">
        <v>67</v>
      </c>
      <c r="AK188" s="19" t="s">
        <v>61</v>
      </c>
      <c r="AL188" s="19"/>
      <c r="AM188" s="19" t="s">
        <v>75</v>
      </c>
      <c r="AN188" s="19"/>
      <c r="AO188" s="19"/>
    </row>
    <row r="189" spans="1:41" ht="14.25" customHeight="1" x14ac:dyDescent="0.25">
      <c r="A189" s="54">
        <v>48</v>
      </c>
      <c r="B189" s="132" t="s">
        <v>165</v>
      </c>
      <c r="C189" s="99" t="e">
        <f>VLOOKUP(B189,[1]Worksheet!$B$6:$C$153,2,0)</f>
        <v>#N/A</v>
      </c>
      <c r="D189" s="17" t="s">
        <v>222</v>
      </c>
      <c r="E189" s="16">
        <v>1</v>
      </c>
      <c r="F189" s="16">
        <v>1</v>
      </c>
      <c r="G189" s="16"/>
      <c r="H189" s="16">
        <v>1</v>
      </c>
      <c r="I189" s="16">
        <v>1</v>
      </c>
      <c r="J189" s="16">
        <v>1</v>
      </c>
      <c r="K189" s="16">
        <v>1</v>
      </c>
      <c r="L189" s="16">
        <v>1</v>
      </c>
      <c r="M189" s="16">
        <v>1</v>
      </c>
      <c r="N189" s="16"/>
      <c r="O189" s="16">
        <v>1</v>
      </c>
      <c r="P189" s="16">
        <v>1</v>
      </c>
      <c r="Q189" s="16">
        <v>1</v>
      </c>
      <c r="R189" s="16">
        <v>1</v>
      </c>
      <c r="S189" s="16">
        <v>1</v>
      </c>
      <c r="T189" s="16">
        <v>1</v>
      </c>
      <c r="U189" s="16"/>
      <c r="V189" s="16">
        <v>1</v>
      </c>
      <c r="W189" s="16">
        <v>1</v>
      </c>
      <c r="X189" s="16">
        <v>1</v>
      </c>
      <c r="Y189" s="16">
        <v>1</v>
      </c>
      <c r="Z189" s="16">
        <v>1</v>
      </c>
      <c r="AA189" s="16">
        <v>1</v>
      </c>
      <c r="AB189" s="16"/>
      <c r="AC189" s="16">
        <v>1</v>
      </c>
      <c r="AD189" s="93">
        <v>1</v>
      </c>
      <c r="AE189" s="16">
        <v>1</v>
      </c>
      <c r="AF189" s="100"/>
      <c r="AG189" s="100">
        <v>1</v>
      </c>
      <c r="AH189" s="100"/>
      <c r="AI189" s="57">
        <f t="shared" si="7"/>
        <v>24</v>
      </c>
      <c r="AJ189" s="124" t="s">
        <v>36</v>
      </c>
      <c r="AK189" s="19" t="s">
        <v>61</v>
      </c>
      <c r="AL189" s="19"/>
      <c r="AM189" s="19"/>
      <c r="AN189" s="19"/>
      <c r="AO189" s="19"/>
    </row>
    <row r="190" spans="1:41" ht="14.25" customHeight="1" x14ac:dyDescent="0.25">
      <c r="A190" s="54">
        <v>47</v>
      </c>
      <c r="B190" s="132" t="s">
        <v>166</v>
      </c>
      <c r="C190" s="99" t="str">
        <f>VLOOKUP(B190,[1]Worksheet!$B$6:$C$153,2,0)</f>
        <v>SSI142</v>
      </c>
      <c r="D190" s="17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00"/>
      <c r="AG190" s="100"/>
      <c r="AH190" s="100"/>
      <c r="AI190" s="55">
        <f t="shared" si="7"/>
        <v>0</v>
      </c>
      <c r="AJ190" s="124" t="s">
        <v>67</v>
      </c>
      <c r="AK190" s="19" t="s">
        <v>61</v>
      </c>
      <c r="AL190" s="19"/>
      <c r="AM190" s="19"/>
      <c r="AN190" s="19"/>
      <c r="AO190" s="19"/>
    </row>
    <row r="191" spans="1:41" ht="14.25" customHeight="1" x14ac:dyDescent="0.25">
      <c r="A191" s="54">
        <v>49</v>
      </c>
      <c r="B191" s="131" t="s">
        <v>219</v>
      </c>
      <c r="C191" s="99" t="str">
        <f>VLOOKUP(B191,[1]Worksheet!$B$6:$C$153,2,0)</f>
        <v>SSI143</v>
      </c>
      <c r="D191" s="17"/>
      <c r="E191" s="16"/>
      <c r="F191" s="16">
        <v>1</v>
      </c>
      <c r="G191" s="16">
        <v>1</v>
      </c>
      <c r="H191" s="61">
        <v>1</v>
      </c>
      <c r="I191" s="16">
        <v>1</v>
      </c>
      <c r="J191" s="16"/>
      <c r="K191" s="16">
        <v>1</v>
      </c>
      <c r="L191" s="16">
        <v>1</v>
      </c>
      <c r="M191" s="16">
        <v>1</v>
      </c>
      <c r="N191" s="16">
        <v>1</v>
      </c>
      <c r="O191" s="16">
        <v>1</v>
      </c>
      <c r="P191" s="16">
        <v>1</v>
      </c>
      <c r="Q191" s="16"/>
      <c r="R191" s="16">
        <v>1</v>
      </c>
      <c r="S191" s="16">
        <v>1</v>
      </c>
      <c r="T191" s="16">
        <v>1</v>
      </c>
      <c r="U191" s="16">
        <v>1</v>
      </c>
      <c r="V191" s="16">
        <v>1</v>
      </c>
      <c r="W191" s="16">
        <v>1</v>
      </c>
      <c r="X191" s="56">
        <v>1</v>
      </c>
      <c r="Y191" s="16">
        <v>1</v>
      </c>
      <c r="Z191" s="16">
        <v>1</v>
      </c>
      <c r="AA191" s="16"/>
      <c r="AB191" s="16">
        <v>1</v>
      </c>
      <c r="AC191" s="16">
        <v>1</v>
      </c>
      <c r="AD191" s="16">
        <v>1</v>
      </c>
      <c r="AE191" s="16"/>
      <c r="AF191" s="29">
        <v>1</v>
      </c>
      <c r="AG191" s="29">
        <v>1</v>
      </c>
      <c r="AH191" s="29">
        <v>1</v>
      </c>
      <c r="AI191" s="57">
        <f t="shared" si="7"/>
        <v>25</v>
      </c>
      <c r="AJ191" s="124" t="s">
        <v>64</v>
      </c>
      <c r="AK191" s="19" t="s">
        <v>71</v>
      </c>
      <c r="AL191" s="19"/>
      <c r="AM191" s="19"/>
      <c r="AN191" s="19"/>
      <c r="AO191" s="19"/>
    </row>
    <row r="192" spans="1:41" ht="14.25" customHeight="1" x14ac:dyDescent="0.25">
      <c r="A192" s="54">
        <v>50</v>
      </c>
      <c r="B192" s="17" t="s">
        <v>220</v>
      </c>
      <c r="C192" s="99" t="str">
        <f>VLOOKUP(B192,[1]Worksheet!$B$6:$C$153,2,0)</f>
        <v>SSI144</v>
      </c>
      <c r="D192" s="17"/>
      <c r="E192" s="16">
        <v>1</v>
      </c>
      <c r="F192" s="16">
        <v>1</v>
      </c>
      <c r="G192" s="16">
        <v>1</v>
      </c>
      <c r="H192" s="16">
        <v>1</v>
      </c>
      <c r="I192" s="16"/>
      <c r="J192" s="16"/>
      <c r="K192" s="16">
        <v>1</v>
      </c>
      <c r="L192" s="16">
        <v>1</v>
      </c>
      <c r="M192" s="16">
        <v>1</v>
      </c>
      <c r="N192" s="16">
        <v>1</v>
      </c>
      <c r="O192" s="16">
        <v>1</v>
      </c>
      <c r="P192" s="16">
        <v>1</v>
      </c>
      <c r="Q192" s="16"/>
      <c r="R192" s="16">
        <v>1</v>
      </c>
      <c r="S192" s="16">
        <v>1</v>
      </c>
      <c r="T192" s="16">
        <v>1</v>
      </c>
      <c r="U192" s="16">
        <v>1</v>
      </c>
      <c r="V192" s="16">
        <v>1</v>
      </c>
      <c r="W192" s="16">
        <v>1</v>
      </c>
      <c r="X192" s="56">
        <v>1</v>
      </c>
      <c r="Y192" s="16">
        <v>1</v>
      </c>
      <c r="Z192" s="16">
        <v>1</v>
      </c>
      <c r="AA192" s="16">
        <v>1</v>
      </c>
      <c r="AB192" s="16">
        <v>1</v>
      </c>
      <c r="AC192" s="16">
        <v>1</v>
      </c>
      <c r="AD192" s="16">
        <v>1</v>
      </c>
      <c r="AE192" s="56">
        <v>1</v>
      </c>
      <c r="AF192" s="100">
        <v>1</v>
      </c>
      <c r="AG192" s="100">
        <v>1</v>
      </c>
      <c r="AH192" s="100">
        <v>1</v>
      </c>
      <c r="AI192" s="57">
        <f t="shared" si="7"/>
        <v>27</v>
      </c>
      <c r="AJ192" s="124" t="s">
        <v>64</v>
      </c>
      <c r="AK192" s="19" t="s">
        <v>61</v>
      </c>
      <c r="AL192" s="19"/>
      <c r="AM192" s="19"/>
      <c r="AN192" s="19"/>
      <c r="AO192" s="19"/>
    </row>
    <row r="193" spans="1:41" ht="14.25" customHeight="1" x14ac:dyDescent="0.25">
      <c r="A193" s="54">
        <v>51</v>
      </c>
      <c r="B193" s="17" t="s">
        <v>167</v>
      </c>
      <c r="C193" s="99" t="str">
        <f>VLOOKUP(B193,[1]Worksheet!$B$6:$C$153,2,0)</f>
        <v>SSI145</v>
      </c>
      <c r="D193" s="17"/>
      <c r="E193" s="16">
        <v>1</v>
      </c>
      <c r="F193" s="16">
        <v>1</v>
      </c>
      <c r="G193" s="16">
        <v>1</v>
      </c>
      <c r="H193" s="16"/>
      <c r="I193" s="16">
        <v>1</v>
      </c>
      <c r="J193" s="16">
        <v>1</v>
      </c>
      <c r="K193" s="16">
        <v>1</v>
      </c>
      <c r="L193" s="16">
        <v>1</v>
      </c>
      <c r="M193" s="16">
        <v>1</v>
      </c>
      <c r="N193" s="16">
        <v>1</v>
      </c>
      <c r="O193" s="56">
        <v>1</v>
      </c>
      <c r="P193" s="16">
        <v>1</v>
      </c>
      <c r="Q193" s="16">
        <v>1</v>
      </c>
      <c r="R193" s="16">
        <v>1</v>
      </c>
      <c r="S193" s="16">
        <v>1</v>
      </c>
      <c r="T193" s="16">
        <v>1</v>
      </c>
      <c r="U193" s="16">
        <v>1</v>
      </c>
      <c r="V193" s="16"/>
      <c r="W193" s="16"/>
      <c r="X193" s="16"/>
      <c r="Y193" s="16"/>
      <c r="Z193" s="16">
        <v>1</v>
      </c>
      <c r="AA193" s="16">
        <v>1</v>
      </c>
      <c r="AB193" s="16">
        <v>1</v>
      </c>
      <c r="AC193" s="16">
        <v>1</v>
      </c>
      <c r="AD193" s="19"/>
      <c r="AE193" s="16"/>
      <c r="AF193" s="100">
        <v>1</v>
      </c>
      <c r="AG193" s="100">
        <v>1</v>
      </c>
      <c r="AH193" s="100">
        <v>1</v>
      </c>
      <c r="AI193" s="57">
        <f t="shared" si="7"/>
        <v>23</v>
      </c>
      <c r="AJ193" s="124" t="s">
        <v>62</v>
      </c>
      <c r="AK193" s="19" t="s">
        <v>61</v>
      </c>
      <c r="AL193" s="19"/>
      <c r="AM193" s="19"/>
      <c r="AN193" s="19"/>
      <c r="AO193" s="19"/>
    </row>
    <row r="194" spans="1:41" ht="14.25" customHeight="1" x14ac:dyDescent="0.25">
      <c r="A194" s="54">
        <v>52</v>
      </c>
      <c r="B194" s="17" t="s">
        <v>168</v>
      </c>
      <c r="C194" s="99" t="str">
        <f>VLOOKUP(B194,[1]Worksheet!$B$6:$C$153,2,0)</f>
        <v>SSI146</v>
      </c>
      <c r="D194" s="17"/>
      <c r="E194" s="16">
        <v>1</v>
      </c>
      <c r="F194" s="16">
        <v>2</v>
      </c>
      <c r="G194" s="16">
        <v>1</v>
      </c>
      <c r="H194" s="56">
        <v>2</v>
      </c>
      <c r="I194" s="16">
        <v>1</v>
      </c>
      <c r="J194" s="16">
        <v>1</v>
      </c>
      <c r="K194" s="16">
        <v>1</v>
      </c>
      <c r="L194" s="16">
        <v>1</v>
      </c>
      <c r="M194" s="16"/>
      <c r="N194" s="16">
        <v>1</v>
      </c>
      <c r="O194" s="56">
        <v>2</v>
      </c>
      <c r="P194" s="16">
        <v>1</v>
      </c>
      <c r="Q194" s="16">
        <v>1</v>
      </c>
      <c r="R194" s="16">
        <v>1</v>
      </c>
      <c r="S194" s="16">
        <v>1</v>
      </c>
      <c r="T194" s="16"/>
      <c r="U194" s="16">
        <v>1</v>
      </c>
      <c r="V194" s="56">
        <v>2</v>
      </c>
      <c r="W194" s="16">
        <v>1</v>
      </c>
      <c r="X194" s="16">
        <v>1</v>
      </c>
      <c r="Y194" s="56">
        <v>1.5</v>
      </c>
      <c r="Z194" s="56">
        <v>1.5</v>
      </c>
      <c r="AA194" s="56">
        <v>1</v>
      </c>
      <c r="AB194" s="16">
        <v>1</v>
      </c>
      <c r="AC194" s="56">
        <v>2</v>
      </c>
      <c r="AD194" s="16">
        <v>1</v>
      </c>
      <c r="AE194" s="16">
        <v>1</v>
      </c>
      <c r="AF194" s="100">
        <v>1</v>
      </c>
      <c r="AG194" s="100">
        <v>1</v>
      </c>
      <c r="AH194" s="103">
        <v>2</v>
      </c>
      <c r="AI194" s="57">
        <f>SUM(E194:AH194)</f>
        <v>35</v>
      </c>
      <c r="AJ194" s="124" t="s">
        <v>60</v>
      </c>
      <c r="AK194" s="19" t="s">
        <v>61</v>
      </c>
      <c r="AL194" s="19"/>
      <c r="AM194" s="19"/>
      <c r="AN194" s="19"/>
      <c r="AO194" s="19"/>
    </row>
    <row r="195" spans="1:41" ht="14.25" customHeight="1" x14ac:dyDescent="0.25">
      <c r="A195" s="54">
        <v>53</v>
      </c>
      <c r="B195" s="17" t="s">
        <v>221</v>
      </c>
      <c r="C195" s="99" t="e">
        <f>VLOOKUP(B195,[1]Worksheet!$B$6:$C$153,2,0)</f>
        <v>#N/A</v>
      </c>
      <c r="D195" s="17" t="s">
        <v>222</v>
      </c>
      <c r="E195" s="16">
        <v>1</v>
      </c>
      <c r="F195" s="61">
        <v>1</v>
      </c>
      <c r="G195" s="16">
        <v>1</v>
      </c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9"/>
      <c r="W195" s="19"/>
      <c r="X195" s="19"/>
      <c r="Y195" s="16"/>
      <c r="Z195" s="16"/>
      <c r="AA195" s="16"/>
      <c r="AB195" s="16"/>
      <c r="AC195" s="16"/>
      <c r="AD195" s="16"/>
      <c r="AE195" s="16"/>
      <c r="AF195" s="100"/>
      <c r="AG195" s="100"/>
      <c r="AH195" s="100"/>
      <c r="AI195" s="57">
        <f t="shared" si="7"/>
        <v>3</v>
      </c>
      <c r="AJ195" s="124" t="s">
        <v>60</v>
      </c>
      <c r="AK195" s="108" t="s">
        <v>65</v>
      </c>
      <c r="AL195" s="21"/>
      <c r="AM195" s="21"/>
      <c r="AN195" s="21"/>
      <c r="AO195" s="21"/>
    </row>
    <row r="196" spans="1:41" ht="14.25" customHeight="1" x14ac:dyDescent="0.25">
      <c r="A196" s="54">
        <v>54</v>
      </c>
      <c r="B196" s="17" t="s">
        <v>192</v>
      </c>
      <c r="C196" s="99" t="e">
        <f>VLOOKUP(B196,[1]Worksheet!$B$6:$C$153,2,0)</f>
        <v>#N/A</v>
      </c>
      <c r="D196" s="17" t="s">
        <v>222</v>
      </c>
      <c r="E196" s="16">
        <v>1</v>
      </c>
      <c r="F196" s="61">
        <v>1</v>
      </c>
      <c r="G196" s="16"/>
      <c r="H196" s="16">
        <v>1</v>
      </c>
      <c r="I196" s="16">
        <v>1</v>
      </c>
      <c r="J196" s="16">
        <v>1</v>
      </c>
      <c r="K196" s="16">
        <v>1</v>
      </c>
      <c r="L196" s="16">
        <v>1</v>
      </c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>
        <v>1</v>
      </c>
      <c r="AD196" s="16">
        <v>1</v>
      </c>
      <c r="AE196" s="16">
        <v>1</v>
      </c>
      <c r="AF196" s="100">
        <v>1</v>
      </c>
      <c r="AG196" s="100"/>
      <c r="AH196" s="100">
        <v>1</v>
      </c>
      <c r="AI196" s="127">
        <f t="shared" si="7"/>
        <v>12</v>
      </c>
      <c r="AJ196" s="124"/>
      <c r="AK196" s="21" t="s">
        <v>61</v>
      </c>
      <c r="AL196" s="21"/>
      <c r="AM196" s="21"/>
      <c r="AN196" s="21"/>
      <c r="AO196" s="21"/>
    </row>
    <row r="197" spans="1:41" ht="14.25" customHeight="1" x14ac:dyDescent="0.25">
      <c r="A197" s="54">
        <v>55</v>
      </c>
      <c r="B197" s="17" t="s">
        <v>193</v>
      </c>
      <c r="C197" s="99" t="e">
        <f>VLOOKUP(B197,[1]Worksheet!$B$6:$C$153,2,0)</f>
        <v>#N/A</v>
      </c>
      <c r="D197" s="17" t="s">
        <v>222</v>
      </c>
      <c r="E197" s="16">
        <v>1</v>
      </c>
      <c r="F197" s="61">
        <v>1</v>
      </c>
      <c r="G197" s="16"/>
      <c r="H197" s="16">
        <v>1</v>
      </c>
      <c r="I197" s="16">
        <v>1</v>
      </c>
      <c r="J197" s="16">
        <v>1</v>
      </c>
      <c r="K197" s="16">
        <v>1</v>
      </c>
      <c r="L197" s="16">
        <v>1</v>
      </c>
      <c r="M197" s="16">
        <v>1</v>
      </c>
      <c r="N197" s="16"/>
      <c r="O197" s="16">
        <v>1</v>
      </c>
      <c r="P197" s="16"/>
      <c r="Q197" s="16">
        <v>1</v>
      </c>
      <c r="R197" s="16"/>
      <c r="S197" s="16">
        <v>1</v>
      </c>
      <c r="T197" s="16">
        <v>1</v>
      </c>
      <c r="U197" s="16"/>
      <c r="V197" s="16"/>
      <c r="W197" s="16">
        <v>1</v>
      </c>
      <c r="X197" s="16">
        <v>1</v>
      </c>
      <c r="Y197" s="16">
        <v>1</v>
      </c>
      <c r="Z197" s="16" t="s">
        <v>56</v>
      </c>
      <c r="AA197" s="16">
        <v>1</v>
      </c>
      <c r="AB197" s="16"/>
      <c r="AC197" s="16">
        <v>1</v>
      </c>
      <c r="AD197" s="16"/>
      <c r="AE197" s="16"/>
      <c r="AF197" s="100"/>
      <c r="AG197" s="100"/>
      <c r="AH197" s="100"/>
      <c r="AI197" s="57">
        <f>SUM(E197:AH197)</f>
        <v>17</v>
      </c>
      <c r="AJ197" s="124"/>
      <c r="AK197" s="21" t="s">
        <v>61</v>
      </c>
      <c r="AL197" s="21"/>
      <c r="AM197" s="21"/>
      <c r="AN197" s="21"/>
      <c r="AO197" s="21"/>
    </row>
    <row r="198" spans="1:41" ht="15.75" x14ac:dyDescent="0.25">
      <c r="A198" s="128">
        <v>56</v>
      </c>
      <c r="B198" s="17" t="s">
        <v>194</v>
      </c>
      <c r="C198" s="99" t="e">
        <f>VLOOKUP(B198,[1]Worksheet!$B$6:$C$153,2,0)</f>
        <v>#N/A</v>
      </c>
      <c r="D198" s="17" t="s">
        <v>222</v>
      </c>
      <c r="E198" s="17"/>
      <c r="F198" s="129"/>
      <c r="G198" s="17"/>
      <c r="H198" s="17" t="s">
        <v>56</v>
      </c>
      <c r="I198" s="17">
        <v>1</v>
      </c>
      <c r="J198" s="17">
        <v>1</v>
      </c>
      <c r="K198" s="17">
        <v>1</v>
      </c>
      <c r="L198" s="17">
        <v>1</v>
      </c>
      <c r="M198" s="17"/>
      <c r="N198" s="17">
        <v>1</v>
      </c>
      <c r="O198" s="17">
        <v>1</v>
      </c>
      <c r="P198" s="17">
        <v>1</v>
      </c>
      <c r="Q198" s="17">
        <v>1</v>
      </c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18"/>
      <c r="AG198" s="118"/>
      <c r="AH198" s="118"/>
      <c r="AI198" s="55">
        <f t="shared" ref="AI198:AI199" si="8">SUM(F198:AH198)</f>
        <v>8</v>
      </c>
      <c r="AJ198" s="130"/>
    </row>
    <row r="199" spans="1:41" ht="14.25" customHeight="1" x14ac:dyDescent="0.25">
      <c r="A199" s="128">
        <v>54</v>
      </c>
      <c r="B199" s="132" t="s">
        <v>180</v>
      </c>
      <c r="C199" s="99" t="str">
        <f>VLOOKUP(B199,[1]Worksheet!$B$6:$C$153,2,0)</f>
        <v>SSI081</v>
      </c>
      <c r="D199" s="17" t="s">
        <v>222</v>
      </c>
      <c r="E199" s="17"/>
      <c r="F199" s="129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>
        <v>1</v>
      </c>
      <c r="V199" s="17">
        <v>1</v>
      </c>
      <c r="W199" s="17">
        <v>1</v>
      </c>
      <c r="X199" s="17">
        <v>1</v>
      </c>
      <c r="Y199" s="17">
        <v>1</v>
      </c>
      <c r="Z199" s="17">
        <v>1</v>
      </c>
      <c r="AA199" s="17">
        <v>1</v>
      </c>
      <c r="AB199" s="17">
        <v>1</v>
      </c>
      <c r="AC199" s="17">
        <v>1</v>
      </c>
      <c r="AD199" s="17">
        <v>1</v>
      </c>
      <c r="AE199" s="17">
        <v>1</v>
      </c>
      <c r="AF199" s="17">
        <v>1</v>
      </c>
      <c r="AG199" s="17">
        <v>1</v>
      </c>
      <c r="AH199" s="17"/>
      <c r="AI199" s="57">
        <f t="shared" si="8"/>
        <v>13</v>
      </c>
      <c r="AJ199" s="18"/>
    </row>
    <row r="200" spans="1:41" s="6" customFormat="1" ht="14.25" customHeight="1" x14ac:dyDescent="0.2">
      <c r="A200" s="96"/>
      <c r="F200" s="97"/>
      <c r="AI200" s="42">
        <f>SUM(AI150:AI199)</f>
        <v>1142</v>
      </c>
      <c r="AJ200" s="19"/>
    </row>
    <row r="201" spans="1:41" s="6" customFormat="1" ht="14.25" customHeight="1" x14ac:dyDescent="0.2">
      <c r="A201" s="96"/>
      <c r="F201" s="97"/>
      <c r="AJ201" s="19"/>
    </row>
    <row r="204" spans="1:41" ht="6" customHeight="1" x14ac:dyDescent="0.2"/>
    <row r="205" spans="1:41" hidden="1" x14ac:dyDescent="0.2"/>
    <row r="206" spans="1:41" hidden="1" x14ac:dyDescent="0.2"/>
  </sheetData>
  <autoFilter ref="A10:C31" xr:uid="{D45E0879-F96F-438B-9F10-97B9E3B1C01A}"/>
  <mergeCells count="9">
    <mergeCell ref="AI122:AI123"/>
    <mergeCell ref="AK122:AK123"/>
    <mergeCell ref="AI148:AI149"/>
    <mergeCell ref="AI10:AI11"/>
    <mergeCell ref="AI35:AI36"/>
    <mergeCell ref="AI43:AI44"/>
    <mergeCell ref="AI57:AI58"/>
    <mergeCell ref="AI91:AI92"/>
    <mergeCell ref="AI107:AI108"/>
  </mergeCells>
  <conditionalFormatting sqref="Q182:Q197 G173 O150:O155 O157:O174 W124 S136:S143 P125:P131 H150:N174 G150:G171 Z60:Z87 U165:U197 P150:P174 Q150:Q180 H141:H143 F113:F119 P133:Q143 W115:W119 T124:V143 S124:S134 AA59:AH87 AA115:AA119 AB109:AH119 AA109:AA113 G109:V119 R124:R143 Q124:Q131 O124:O125 O127:O143 AB49:AH52 Y189:Y197 AB189:AC197 AE150:AH197 R150:T197 Z168:Z197 U150:U163 H127:H139 E127:G143 AB45:AD46 AE45:AH47 AD194:AD197 AD190:AD192 AD178:AD187 AA159:AA197 AD158:AD176 Z159:Z166 AC151:AC156 Y161:Y164 X150:Y159 Y166:Y176 AB150:AB187 AC158:AC187 AD150:AD156 Z150:AA157 Y178:Y187 AB127:AH143 Y127:AA142 E12:AH31 F150:F174 F175:P197 F110 V196:X197 E150:E197 K124:N143 E124:J125 I127:J143 E45:AA52 E59:Y87 E93:AH101 X109:Z119 W109:W113 W126:X143 X124:AH125 X160:X194 V150:W194 E37:AH40 E110:E119">
    <cfRule type="cellIs" dxfId="3" priority="3" operator="lessThan">
      <formula>0.75</formula>
    </cfRule>
    <cfRule type="cellIs" dxfId="2" priority="4" operator="lessThan">
      <formula>0.75</formula>
    </cfRule>
  </conditionalFormatting>
  <conditionalFormatting sqref="Q182:Q197 G173 O150:O155 O157:O174 W124 S136:S143 P125:P131 H150:N174 G150:G171 Z60:Z87 U165:U197 P150:P174 Q150:Q180 H141:H143 F113:F119 P133:Q143 W115:W119 T124:V143 S124:S134 AA59:AH87 AA115:AA119 AB109:AH119 AA109:AA113 G109:V119 R124:R143 Q124:Q131 O124:O125 O127:O143 AB49:AH52 Y189:Y197 AB189:AC197 AE150:AH197 R150:T197 Z168:Z197 U150:U163 H127:H139 E127:G143 AB45:AD46 AE45:AH47 AD194:AD197 AD190:AD192 AD178:AD187 AA159:AA197 AD158:AD176 Z159:Z166 AC151:AC156 Y161:Y164 X150:Y159 Y166:Y176 AB150:AB187 AC158:AC187 AD150:AD156 Z150:AA157 Y178:Y187 AB127:AH143 Y127:AA142 E15:AH15 F150:F174 F175:P197 F110 V196:X197 E150:E197 K124:N143 E124:J125 I127:J143 E45:AA52 E59:Y87 E93:AH101 X109:Z119 W109:W113 W126:X143 X124:AH125 X160:X194 V150:W194 E37:AH40 E23:AH23 E110:E119">
    <cfRule type="cellIs" dxfId="1" priority="2" operator="lessThan">
      <formula>0.7</formula>
    </cfRule>
  </conditionalFormatting>
  <conditionalFormatting sqref="C1:C1048576">
    <cfRule type="duplicateValues" dxfId="0" priority="1"/>
  </conditionalFormatting>
  <printOptions horizontalCentered="1"/>
  <pageMargins left="0.15748031496062992" right="0.15748031496062992" top="0.15748031496062992" bottom="0.31496062992125984" header="0.31496062992125984" footer="0.31496062992125984"/>
  <pageSetup paperSize="9" scale="44" fitToHeight="3" orientation="portrait" r:id="rId1"/>
  <headerFooter>
    <oddFooter>&amp;RPage-&amp;P/&amp;N</oddFooter>
  </headerFooter>
  <rowBreaks count="2" manualBreakCount="2">
    <brk id="56" max="36" man="1"/>
    <brk id="90" max="3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NOV-25</vt:lpstr>
      <vt:lpstr>'NOV-25'!Print_Area</vt:lpstr>
      <vt:lpstr>'NOV-25'!Print_Titles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Sspl</dc:creator>
  <cp:lastModifiedBy>Durgadas</cp:lastModifiedBy>
  <dcterms:created xsi:type="dcterms:W3CDTF">2025-12-18T09:41:03Z</dcterms:created>
  <dcterms:modified xsi:type="dcterms:W3CDTF">2025-12-26T13:01:17Z</dcterms:modified>
</cp:coreProperties>
</file>